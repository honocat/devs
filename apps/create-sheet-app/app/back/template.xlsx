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k101/Miraiya/create-sheet-app/src/create_sheet_app/"/>
    </mc:Choice>
  </mc:AlternateContent>
  <xr:revisionPtr revIDLastSave="0" documentId="8_{F458E7E4-8451-B745-8569-27C0164FF691}" xr6:coauthVersionLast="47" xr6:coauthVersionMax="47" xr10:uidLastSave="{00000000-0000-0000-0000-000000000000}"/>
  <bookViews>
    <workbookView xWindow="-38400" yWindow="500" windowWidth="38400" windowHeight="21100" xr2:uid="{00000000-000D-0000-FFFF-FFFF00000000}"/>
  </bookViews>
  <sheets>
    <sheet name="一般注文" sheetId="2" r:id="rId1"/>
    <sheet name="店舗マスタ230208" sheetId="10" state="hidden" r:id="rId2"/>
  </sheets>
  <definedNames>
    <definedName name="_xlnm._FilterDatabase" localSheetId="1" hidden="1">店舗マスタ230208!$A$2:$AT$249</definedName>
    <definedName name="_xlnm.Print_Area" localSheetId="0">一般注文!$A$1:$K$34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2" l="1"/>
  <c r="B28" i="2"/>
  <c r="B27" i="2"/>
  <c r="B17" i="2"/>
  <c r="B16" i="2"/>
  <c r="B15" i="2"/>
  <c r="B14" i="2"/>
  <c r="I4" i="2"/>
  <c r="I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國松 大也 (未来屋書店)</author>
  </authors>
  <commentList>
    <comment ref="O2" authorId="0" shapeId="0" xr:uid="{00000000-0006-0000-0900-000001000000}">
      <text>
        <r>
          <rPr>
            <sz val="10"/>
            <rFont val="Arial"/>
            <family val="2"/>
          </rPr>
          <t>文書閲覧「在庫予算22年8月資料」より転記</t>
        </r>
      </text>
    </comment>
    <comment ref="S2" authorId="0" shapeId="0" xr:uid="{00000000-0006-0000-0900-000002000000}">
      <text>
        <r>
          <rPr>
            <sz val="10"/>
            <rFont val="Arial"/>
            <family val="2"/>
          </rPr>
          <t>文書閲覧「在庫予算22年8月資料」より転記</t>
        </r>
      </text>
    </comment>
    <comment ref="AB2" authorId="0" shapeId="0" xr:uid="{00000000-0006-0000-0900-000003000000}">
      <text>
        <r>
          <rPr>
            <sz val="10"/>
            <rFont val="Arial"/>
            <family val="2"/>
          </rPr>
          <t>文書閲覧「在庫予算22年8月資料」より転記</t>
        </r>
      </text>
    </comment>
  </commentList>
</comments>
</file>

<file path=xl/sharedStrings.xml><?xml version="1.0" encoding="utf-8"?>
<sst xmlns="http://schemas.openxmlformats.org/spreadsheetml/2006/main" count="7516" uniqueCount="3899">
  <si>
    <t>店名</t>
  </si>
  <si>
    <t>店コード</t>
  </si>
  <si>
    <t>旭川駅前</t>
  </si>
  <si>
    <t>トーハン</t>
  </si>
  <si>
    <t>日販</t>
  </si>
  <si>
    <t>苫小牧</t>
  </si>
  <si>
    <t>桑園</t>
  </si>
  <si>
    <t>取次</t>
  </si>
  <si>
    <t>旭川西</t>
  </si>
  <si>
    <t>名寄</t>
  </si>
  <si>
    <t>旭川シーナ</t>
  </si>
  <si>
    <t>江別</t>
  </si>
  <si>
    <t>日教販</t>
  </si>
  <si>
    <t>三笠</t>
  </si>
  <si>
    <t>発寒</t>
  </si>
  <si>
    <t>手稲山口</t>
  </si>
  <si>
    <t>江別野幌</t>
  </si>
  <si>
    <t>苗穂</t>
  </si>
  <si>
    <t>西岡</t>
  </si>
  <si>
    <t>八戸</t>
  </si>
  <si>
    <t>新七戸</t>
  </si>
  <si>
    <t>十和田</t>
  </si>
  <si>
    <t>弘前樋の口</t>
  </si>
  <si>
    <t>青森西</t>
  </si>
  <si>
    <t>平賀</t>
  </si>
  <si>
    <t>藤崎</t>
  </si>
  <si>
    <t>江釣子パル</t>
  </si>
  <si>
    <t>矢巾</t>
  </si>
  <si>
    <t>気仙沼</t>
  </si>
  <si>
    <t>前沢</t>
  </si>
  <si>
    <t>一関</t>
  </si>
  <si>
    <t>秋田</t>
  </si>
  <si>
    <t>土崎港</t>
  </si>
  <si>
    <t>大曲</t>
  </si>
  <si>
    <t>横手南</t>
  </si>
  <si>
    <t>中仙</t>
  </si>
  <si>
    <t>亘理</t>
  </si>
  <si>
    <t>郡山フェスタ</t>
  </si>
  <si>
    <t>名取</t>
  </si>
  <si>
    <t>天童</t>
  </si>
  <si>
    <t>東根</t>
  </si>
  <si>
    <t>三川</t>
  </si>
  <si>
    <t>酒田北</t>
  </si>
  <si>
    <t>酒田南</t>
  </si>
  <si>
    <t>白河西郷</t>
  </si>
  <si>
    <t>富谷</t>
  </si>
  <si>
    <t>塩釜</t>
  </si>
  <si>
    <t>多賀城</t>
  </si>
  <si>
    <t>古川</t>
  </si>
  <si>
    <t>仙台中山</t>
  </si>
  <si>
    <t>仙台幸町</t>
  </si>
  <si>
    <t>石巻</t>
  </si>
  <si>
    <t>新潟南</t>
  </si>
  <si>
    <t>新発田</t>
  </si>
  <si>
    <t>新潟青山</t>
  </si>
  <si>
    <t>となみ</t>
  </si>
  <si>
    <t>杜の里</t>
  </si>
  <si>
    <t>上越</t>
  </si>
  <si>
    <t>上田</t>
  </si>
  <si>
    <t>佐久平</t>
  </si>
  <si>
    <t>松本</t>
  </si>
  <si>
    <t>穂高</t>
  </si>
  <si>
    <t>つくば</t>
  </si>
  <si>
    <t>下妻</t>
  </si>
  <si>
    <t>水戸内原</t>
  </si>
  <si>
    <t>土浦</t>
  </si>
  <si>
    <t>佐野新都市</t>
  </si>
  <si>
    <t>小山</t>
  </si>
  <si>
    <t>栃木</t>
  </si>
  <si>
    <t>高崎</t>
  </si>
  <si>
    <t>大井</t>
  </si>
  <si>
    <t>北浦和</t>
  </si>
  <si>
    <t>レイクタウン</t>
  </si>
  <si>
    <t>与野</t>
  </si>
  <si>
    <t>大宮</t>
  </si>
  <si>
    <t>北戸田</t>
  </si>
  <si>
    <t>春日部</t>
  </si>
  <si>
    <t>せんげん台</t>
  </si>
  <si>
    <t>羽生</t>
  </si>
  <si>
    <t>入間</t>
  </si>
  <si>
    <t>狭山</t>
  </si>
  <si>
    <t>成田</t>
  </si>
  <si>
    <t>ボンベルタ成田</t>
  </si>
  <si>
    <t>木更津</t>
  </si>
  <si>
    <t>木更津朝日</t>
  </si>
  <si>
    <t>銚子</t>
  </si>
  <si>
    <t>西代</t>
  </si>
  <si>
    <t>八千代緑が丘</t>
  </si>
  <si>
    <t>ユーカリが丘</t>
  </si>
  <si>
    <t>津田沼</t>
  </si>
  <si>
    <t>鎌ケ谷</t>
  </si>
  <si>
    <t>マリンピア</t>
  </si>
  <si>
    <t>幕張新都心</t>
  </si>
  <si>
    <t>鎌取</t>
  </si>
  <si>
    <t>幕張</t>
  </si>
  <si>
    <t>北小金</t>
  </si>
  <si>
    <t>ノア</t>
  </si>
  <si>
    <t>高根木戸</t>
  </si>
  <si>
    <t>柏</t>
  </si>
  <si>
    <t>船橋</t>
  </si>
  <si>
    <t>板橋</t>
  </si>
  <si>
    <t>多摩平の森</t>
  </si>
  <si>
    <t>東久留米</t>
  </si>
  <si>
    <t>碑文谷</t>
  </si>
  <si>
    <t>葛西</t>
  </si>
  <si>
    <t>南砂</t>
  </si>
  <si>
    <t>市川妙典</t>
  </si>
  <si>
    <t>日の出</t>
  </si>
  <si>
    <t>甲府昭和</t>
  </si>
  <si>
    <t>秦野</t>
  </si>
  <si>
    <t>湘南茅ヶ崎</t>
  </si>
  <si>
    <t>大和鶴間</t>
  </si>
  <si>
    <t>海老名</t>
  </si>
  <si>
    <t>大和</t>
  </si>
  <si>
    <t>本牧</t>
  </si>
  <si>
    <t>相模原</t>
  </si>
  <si>
    <t>浜松市野</t>
  </si>
  <si>
    <t>袋井</t>
  </si>
  <si>
    <t>富士南</t>
  </si>
  <si>
    <t>焼津</t>
  </si>
  <si>
    <t>清水</t>
  </si>
  <si>
    <t>岡崎</t>
  </si>
  <si>
    <t>豊橋南</t>
  </si>
  <si>
    <t>豊川</t>
  </si>
  <si>
    <t>東浦</t>
  </si>
  <si>
    <t>三好</t>
  </si>
  <si>
    <t>新瑞橋</t>
  </si>
  <si>
    <t>八事</t>
  </si>
  <si>
    <t>常滑</t>
  </si>
  <si>
    <t>大高</t>
  </si>
  <si>
    <t>熱田</t>
  </si>
  <si>
    <t>有松</t>
  </si>
  <si>
    <t>長久手</t>
  </si>
  <si>
    <t>守山</t>
  </si>
  <si>
    <t>小牧</t>
  </si>
  <si>
    <t>名西</t>
  </si>
  <si>
    <t>名古屋茶屋</t>
  </si>
  <si>
    <t>木曽川</t>
  </si>
  <si>
    <t>各務原</t>
  </si>
  <si>
    <t>扶桑</t>
  </si>
  <si>
    <t>大垣</t>
  </si>
  <si>
    <t>津南</t>
  </si>
  <si>
    <t>四日市北</t>
  </si>
  <si>
    <t>日永</t>
  </si>
  <si>
    <t>伊勢</t>
  </si>
  <si>
    <t>津城山</t>
  </si>
  <si>
    <t>四日市尾平</t>
  </si>
  <si>
    <t>鈴鹿</t>
  </si>
  <si>
    <t>東員</t>
  </si>
  <si>
    <t>桑名</t>
  </si>
  <si>
    <t>久御山</t>
  </si>
  <si>
    <t>大津京</t>
  </si>
  <si>
    <t>高の原</t>
  </si>
  <si>
    <t>四條畷</t>
  </si>
  <si>
    <t>茨木</t>
  </si>
  <si>
    <t>新茨木</t>
  </si>
  <si>
    <t>高槻</t>
  </si>
  <si>
    <t>大日</t>
  </si>
  <si>
    <t>天理</t>
  </si>
  <si>
    <t>日根野</t>
  </si>
  <si>
    <t>和泉府中</t>
  </si>
  <si>
    <t>喜連瓜破</t>
  </si>
  <si>
    <t>平野駅前</t>
  </si>
  <si>
    <t>小阪</t>
  </si>
  <si>
    <t>りんくう泉南</t>
  </si>
  <si>
    <t>和歌山</t>
  </si>
  <si>
    <t>鴻池</t>
  </si>
  <si>
    <t>ジェームス山</t>
  </si>
  <si>
    <t>小野</t>
  </si>
  <si>
    <t>三木</t>
  </si>
  <si>
    <t>社</t>
  </si>
  <si>
    <t>塚口</t>
  </si>
  <si>
    <t>伊丹昆陽</t>
  </si>
  <si>
    <t>伊丹</t>
  </si>
  <si>
    <t>明石</t>
  </si>
  <si>
    <t>姫路大津</t>
  </si>
  <si>
    <t>赤穂</t>
  </si>
  <si>
    <t>加古川</t>
  </si>
  <si>
    <t>加西北条</t>
  </si>
  <si>
    <t>アスパ高砂</t>
  </si>
  <si>
    <t>土山</t>
  </si>
  <si>
    <t>東山</t>
  </si>
  <si>
    <t>氷上</t>
  </si>
  <si>
    <t>山崎</t>
  </si>
  <si>
    <t>和田山</t>
  </si>
  <si>
    <t>岡山</t>
  </si>
  <si>
    <t>宇品</t>
  </si>
  <si>
    <t>綾川</t>
  </si>
  <si>
    <t>徳島</t>
  </si>
  <si>
    <t>防府</t>
  </si>
  <si>
    <t>福津</t>
  </si>
  <si>
    <t>黒崎</t>
  </si>
  <si>
    <t>福岡伊都</t>
  </si>
  <si>
    <t>八幡東</t>
  </si>
  <si>
    <t>戸畑</t>
  </si>
  <si>
    <t>三光</t>
  </si>
  <si>
    <t>直方</t>
  </si>
  <si>
    <t>岡垣</t>
  </si>
  <si>
    <t>香椎浜</t>
  </si>
  <si>
    <t>沖縄ライカム</t>
  </si>
  <si>
    <t>とよみ</t>
  </si>
  <si>
    <t>大野城</t>
  </si>
  <si>
    <t>小郡</t>
  </si>
  <si>
    <t>大牟田</t>
  </si>
  <si>
    <t>大木</t>
  </si>
  <si>
    <t>宮崎</t>
  </si>
  <si>
    <t>鹿児島</t>
  </si>
  <si>
    <t>姶良</t>
  </si>
  <si>
    <t>上尾</t>
  </si>
  <si>
    <t>高知</t>
  </si>
  <si>
    <t>新利府南館</t>
  </si>
  <si>
    <t>川口</t>
  </si>
  <si>
    <t>新利府北館</t>
  </si>
  <si>
    <t>能代</t>
  </si>
  <si>
    <t>天王町</t>
  </si>
  <si>
    <t>アルパーク</t>
  </si>
  <si>
    <t>一般</t>
  </si>
  <si>
    <t>■使いかた</t>
  </si>
  <si>
    <t>御中</t>
  </si>
  <si>
    <t>②ピンク網掛け部分を入力します。</t>
  </si>
  <si>
    <t>商品手配のお願い</t>
  </si>
  <si>
    <t>お世話になります。</t>
  </si>
  <si>
    <t>※注文数を入力すると(客注)番線印が表示されます。</t>
  </si>
  <si>
    <t>以下の通り発注したく、ご手配のほどよろしくお願いします。</t>
  </si>
  <si>
    <t>お手数ですが、品切れ/搬入日　のご回答いただきますようお願いします。</t>
  </si>
  <si>
    <t>番線</t>
  </si>
  <si>
    <t>数量</t>
  </si>
  <si>
    <t>書誌情報</t>
  </si>
  <si>
    <t>回答欄</t>
  </si>
  <si>
    <t>品切・絶版</t>
  </si>
  <si>
    <t>冊</t>
  </si>
  <si>
    <t>ISBN / 雑誌コード</t>
  </si>
  <si>
    <t xml:space="preserve">搬入日    / </t>
  </si>
  <si>
    <t>通信欄</t>
  </si>
  <si>
    <t>担当：</t>
  </si>
  <si>
    <t>FAX 050-3730-0082</t>
  </si>
  <si>
    <t>2023/1/4作成</t>
  </si>
  <si>
    <t>茅ヶ崎中央</t>
  </si>
  <si>
    <t>NO,</t>
  </si>
  <si>
    <t>屋号</t>
  </si>
  <si>
    <t>― ― ― ― ―</t>
  </si>
  <si>
    <t>店コード+店舗</t>
  </si>
  <si>
    <t>郵便番号</t>
  </si>
  <si>
    <t>エリア</t>
  </si>
  <si>
    <t>住所</t>
  </si>
  <si>
    <t>電話番号</t>
  </si>
  <si>
    <t>TEL+店舗番号</t>
  </si>
  <si>
    <t>ＦＡＸ番号</t>
  </si>
  <si>
    <t>解約</t>
  </si>
  <si>
    <t>Eメール</t>
  </si>
  <si>
    <t>番線
住所</t>
  </si>
  <si>
    <t>書店コード</t>
  </si>
  <si>
    <t>トーハン番線</t>
  </si>
  <si>
    <t>トーハン
番線住所</t>
  </si>
  <si>
    <t>トーハン
書店コード</t>
  </si>
  <si>
    <t>図書カード
担当支店</t>
  </si>
  <si>
    <t>取次
TEL番号</t>
  </si>
  <si>
    <t>取次
FAX番号</t>
  </si>
  <si>
    <t>トーハン
ヘッダ</t>
  </si>
  <si>
    <t>トーハン
フッター</t>
  </si>
  <si>
    <t>日販番線</t>
  </si>
  <si>
    <t>日販
番線住所</t>
  </si>
  <si>
    <t>日販
書店コード</t>
  </si>
  <si>
    <t>日販
加盟店番号</t>
  </si>
  <si>
    <t>日販
加盟店番号②</t>
  </si>
  <si>
    <t>共有書店コード１</t>
  </si>
  <si>
    <t>共有書店コード２</t>
  </si>
  <si>
    <t>客注番線</t>
  </si>
  <si>
    <t>客注コード</t>
  </si>
  <si>
    <t>学参
帳合</t>
  </si>
  <si>
    <t>備考</t>
  </si>
  <si>
    <t>未来屋書店</t>
  </si>
  <si>
    <t>未来屋書店 手稲山口店</t>
  </si>
  <si>
    <t>1614　手稲山口</t>
  </si>
  <si>
    <t>006-0861</t>
  </si>
  <si>
    <t>01北海道</t>
  </si>
  <si>
    <t>北海道札幌市手稲区明日風6丁目1番1号　イオンSuC手稲山口店1F</t>
  </si>
  <si>
    <t>011-699-7200</t>
  </si>
  <si>
    <t>TEL 011-699-7200</t>
  </si>
  <si>
    <t>011-699-7201</t>
  </si>
  <si>
    <t>ms1614@miraiyashoten.co.jp</t>
  </si>
  <si>
    <t>D30-14</t>
  </si>
  <si>
    <t>北海道札幌市</t>
  </si>
  <si>
    <t>日販店は注文できません</t>
  </si>
  <si>
    <t>図書カード担当</t>
  </si>
  <si>
    <t>0120-1234-5678</t>
  </si>
  <si>
    <t>03-5280-0560</t>
  </si>
  <si>
    <t>K1835</t>
  </si>
  <si>
    <t>K1835-237</t>
  </si>
  <si>
    <t>D30-14  211720</t>
  </si>
  <si>
    <t>043682</t>
  </si>
  <si>
    <t>ー</t>
  </si>
  <si>
    <t>アシーネ 麻生</t>
  </si>
  <si>
    <t xml:space="preserve"> アシーネ 麻生店</t>
  </si>
  <si>
    <t>9027　アシーネ麻生</t>
  </si>
  <si>
    <t>001-0039</t>
  </si>
  <si>
    <t>北海道札幌市北区北39条西4-1-5 イオン札幌麻生店4F</t>
  </si>
  <si>
    <t>011-706-1128</t>
  </si>
  <si>
    <t>TEL 011-706-1128</t>
  </si>
  <si>
    <t>兼011-706-1128</t>
  </si>
  <si>
    <t>ms9027@miraiyashoten.co.jp</t>
  </si>
  <si>
    <t>E18-31</t>
  </si>
  <si>
    <t>0120-1234-5679</t>
  </si>
  <si>
    <t>A1953</t>
  </si>
  <si>
    <t>A1953-9</t>
  </si>
  <si>
    <t>E18-31  210450</t>
  </si>
  <si>
    <t>006655</t>
  </si>
  <si>
    <t>未来屋書店 発寒店</t>
  </si>
  <si>
    <t>9335　発寒</t>
  </si>
  <si>
    <t>063-0828</t>
  </si>
  <si>
    <t>北海道札幌市西区発寒8条12丁目1番1号　イオンモール札幌発寒2Ｆ</t>
  </si>
  <si>
    <t>011-671-5880</t>
  </si>
  <si>
    <t>TEL 011-671-5880</t>
  </si>
  <si>
    <t>011-676-1010</t>
  </si>
  <si>
    <t>ms9335@miraiyashoten.co.jp</t>
  </si>
  <si>
    <t>04-R-28</t>
  </si>
  <si>
    <t>北海道支店</t>
  </si>
  <si>
    <t>0120-1234-5680</t>
  </si>
  <si>
    <t>011ー210ー2711</t>
  </si>
  <si>
    <t>トーハン北海道支店注文ＦＡＸ番号【　０１１－２１０－２７１１　】</t>
  </si>
  <si>
    <t>北海道支店　0120-1234-5680</t>
  </si>
  <si>
    <t>トーハン店は注文できません</t>
  </si>
  <si>
    <t>日販専用注文書です</t>
  </si>
  <si>
    <t>04-R-28  15167</t>
  </si>
  <si>
    <t>039499</t>
  </si>
  <si>
    <t>43T45</t>
  </si>
  <si>
    <t>013455</t>
  </si>
  <si>
    <t>未来屋書店 旭川駅前店</t>
  </si>
  <si>
    <t>7962　旭川駅前</t>
  </si>
  <si>
    <t>070-0030</t>
  </si>
  <si>
    <t>北海道旭川市宮下通7-2-5　イオンモール旭川駅前3Ｆ</t>
  </si>
  <si>
    <t>0166-21-8622</t>
  </si>
  <si>
    <t>TEL 0166-21-8622</t>
  </si>
  <si>
    <t>0166-21-8623</t>
  </si>
  <si>
    <t>ms7962@miraiyashoten.co.jp</t>
  </si>
  <si>
    <t>01-R-52</t>
  </si>
  <si>
    <t>北海道旭川市</t>
  </si>
  <si>
    <t>0120-1234-5681</t>
  </si>
  <si>
    <t>北海道支店　0120-1234-5681</t>
  </si>
  <si>
    <t>01-R-52  15013</t>
  </si>
  <si>
    <t>044799</t>
  </si>
  <si>
    <t>44T02</t>
  </si>
  <si>
    <t>共栄図書</t>
  </si>
  <si>
    <t>アシーネ 東札幌</t>
  </si>
  <si>
    <t xml:space="preserve"> アシーネ 東札幌店</t>
  </si>
  <si>
    <t>8462　アシーネ東札幌</t>
  </si>
  <si>
    <t>003-0003</t>
  </si>
  <si>
    <t>北海道札幌市白石区東札幌3条2-1 イオン東札幌店2F</t>
  </si>
  <si>
    <t>011-817-4100</t>
  </si>
  <si>
    <t>TEL 011-817-4100</t>
  </si>
  <si>
    <t>兼011-817-4100</t>
  </si>
  <si>
    <t>ms8462@miraiyashoten.co.jp</t>
  </si>
  <si>
    <t>D12-02</t>
  </si>
  <si>
    <t>0120-1234-5682</t>
  </si>
  <si>
    <t>A1953-10</t>
  </si>
  <si>
    <t>D12-02  211510</t>
  </si>
  <si>
    <t>042244</t>
  </si>
  <si>
    <t>未来屋書店 三笠店</t>
  </si>
  <si>
    <t>8914　三笠</t>
  </si>
  <si>
    <t>068-2165</t>
  </si>
  <si>
    <t>北海道三笠市岡山1059-1　イオンSuC三笠店1F</t>
  </si>
  <si>
    <t>01267-4-4777</t>
  </si>
  <si>
    <t>TEL 01267-4-4777</t>
  </si>
  <si>
    <t>01267-4-4778</t>
  </si>
  <si>
    <t>ms8914@miraiyashoten.co.jp</t>
  </si>
  <si>
    <t>09-R-44</t>
  </si>
  <si>
    <t>北海道三笠市</t>
  </si>
  <si>
    <t>0120-1234-5683</t>
  </si>
  <si>
    <t>北海道支店　0120-1234-5683</t>
  </si>
  <si>
    <t>09-R-44  15021</t>
  </si>
  <si>
    <t>038292</t>
  </si>
  <si>
    <t>44T04</t>
  </si>
  <si>
    <t>未来屋書店 江別店</t>
  </si>
  <si>
    <t>9334　江別</t>
  </si>
  <si>
    <t>069-0812</t>
  </si>
  <si>
    <t>北海道江別市幸町35　イオン江別店3F</t>
  </si>
  <si>
    <t>011-391-2050</t>
  </si>
  <si>
    <t>TEL 011-391-2050</t>
  </si>
  <si>
    <t>011-391-2051</t>
  </si>
  <si>
    <t>ms9334@miraiyashoten.co.jp</t>
  </si>
  <si>
    <t>D12-08</t>
  </si>
  <si>
    <t>北海道江別市</t>
  </si>
  <si>
    <t>0120-1234-5684</t>
  </si>
  <si>
    <t>K1835-173</t>
  </si>
  <si>
    <t>D12-08  214920</t>
  </si>
  <si>
    <t>042682</t>
  </si>
  <si>
    <t>013846</t>
  </si>
  <si>
    <t>未来屋書店 苫小牧店</t>
  </si>
  <si>
    <t>8930　苫小牧</t>
  </si>
  <si>
    <t>053-0053</t>
  </si>
  <si>
    <t>北海道苫小牧市柳町3-1-20　イオンモール苫小牧2F</t>
  </si>
  <si>
    <t>0144-53-8040</t>
  </si>
  <si>
    <t>TEL 0144-53-8040</t>
  </si>
  <si>
    <t>0144-53-8041</t>
  </si>
  <si>
    <t>ms8930@miraiyashoten.co.jp</t>
  </si>
  <si>
    <t>97-L-25</t>
  </si>
  <si>
    <t>北海道苫小牧市</t>
  </si>
  <si>
    <t>0120-1234-5685</t>
  </si>
  <si>
    <t>北海道支店　0120-1234-5685</t>
  </si>
  <si>
    <t>97-L-25  15159</t>
  </si>
  <si>
    <t>038253</t>
  </si>
  <si>
    <t>43T51</t>
  </si>
  <si>
    <t>未来屋書店 名寄店</t>
  </si>
  <si>
    <t>8943　名寄</t>
  </si>
  <si>
    <t>096-0071</t>
  </si>
  <si>
    <t>北海道名寄市徳田80-1　イオン名寄ＳＣ1Ｆ</t>
  </si>
  <si>
    <t>01654-9-7788</t>
  </si>
  <si>
    <t>TEL 01654-9-7788</t>
  </si>
  <si>
    <t>01654-9-7789</t>
  </si>
  <si>
    <t>ms8943@miraiyashoten.co.jp</t>
  </si>
  <si>
    <t>03-R-42</t>
  </si>
  <si>
    <t>北海道名寄市</t>
  </si>
  <si>
    <t>0120-1234-5686</t>
  </si>
  <si>
    <t>北海道支店　0120-1234-5686</t>
  </si>
  <si>
    <t>03-R-42  15093</t>
  </si>
  <si>
    <t>041074</t>
  </si>
  <si>
    <t>44T06</t>
  </si>
  <si>
    <t>未来屋書店 旭川シーナ店</t>
  </si>
  <si>
    <t>8986　旭川シーナ</t>
  </si>
  <si>
    <t>079-8413</t>
  </si>
  <si>
    <t>北海道旭川市永山3条15丁目1-7　コープさっぽろシーナ1Ｆ</t>
  </si>
  <si>
    <t>0166-49-6521</t>
  </si>
  <si>
    <t>TEL 0166-49-6521</t>
  </si>
  <si>
    <t>0166-49-6522</t>
  </si>
  <si>
    <t>ms8986@miraiyashoten.co.jp</t>
  </si>
  <si>
    <t>09-R-08</t>
  </si>
  <si>
    <t>0120-1234-5687</t>
  </si>
  <si>
    <t>北海道支店　0120-1234-5687</t>
  </si>
  <si>
    <t>09-R-08  15017</t>
  </si>
  <si>
    <t>039873</t>
  </si>
  <si>
    <t>44T03</t>
  </si>
  <si>
    <t>未来屋書店 旭川西店</t>
  </si>
  <si>
    <t>9316　旭川西</t>
  </si>
  <si>
    <t>070-0823</t>
  </si>
  <si>
    <t>北海道旭川市緑町23丁目2161番3　イオンモール旭川西2Ｆ</t>
  </si>
  <si>
    <t>0166-59-0377</t>
  </si>
  <si>
    <t>TEL 0166-59-0377</t>
  </si>
  <si>
    <t>0166-59-0378</t>
  </si>
  <si>
    <t>ms9316@miraiyashoten.co.jp</t>
  </si>
  <si>
    <t>01-R-17</t>
  </si>
  <si>
    <t>0120-1234-5688</t>
  </si>
  <si>
    <t>北海道支店　0120-1234-5688</t>
  </si>
  <si>
    <t>01-R-17  15009</t>
  </si>
  <si>
    <t>037496</t>
  </si>
  <si>
    <t>44T01</t>
  </si>
  <si>
    <t>未来屋書店 桑園店</t>
  </si>
  <si>
    <t>8976　桑園</t>
  </si>
  <si>
    <t>060-0008</t>
  </si>
  <si>
    <t>北海道札幌市中央区北８条西１４-２８　イオン札幌桑園SC２F</t>
  </si>
  <si>
    <t>011-218-7131</t>
  </si>
  <si>
    <t>TEL 011-218-7131</t>
  </si>
  <si>
    <t>011-218-7132</t>
  </si>
  <si>
    <t>ms8976@miraiyashoten.co.jp</t>
  </si>
  <si>
    <t>02-R-16</t>
  </si>
  <si>
    <t>0120-1234-5689</t>
  </si>
  <si>
    <t>北海道支店　0120-1234-5689</t>
  </si>
  <si>
    <t>02-R-16  15025</t>
  </si>
  <si>
    <t>036375</t>
  </si>
  <si>
    <t>44T05</t>
  </si>
  <si>
    <t>琴似</t>
  </si>
  <si>
    <t>未来屋書店 琴似店</t>
  </si>
  <si>
    <t>9018　琴似</t>
  </si>
  <si>
    <t>063-0812</t>
  </si>
  <si>
    <t>北海道札幌市西区琴似2条4-2-2 イオン札幌琴似店3F</t>
  </si>
  <si>
    <t>011-644-9708</t>
  </si>
  <si>
    <t>TEL 011-644-9708</t>
  </si>
  <si>
    <t>兼011-644-9708</t>
  </si>
  <si>
    <t>ms9018@miraiyashoten.co.jp</t>
  </si>
  <si>
    <t>02-R-38</t>
  </si>
  <si>
    <t>0120-1234-5690</t>
  </si>
  <si>
    <t>北海道支店　0120-1234-5690</t>
  </si>
  <si>
    <t>02-R-38  15163</t>
  </si>
  <si>
    <t>035883</t>
  </si>
  <si>
    <t>43T39</t>
  </si>
  <si>
    <t>上磯</t>
  </si>
  <si>
    <t>未来屋書店 上磯店</t>
  </si>
  <si>
    <t>9019　上磯</t>
  </si>
  <si>
    <t>049-0111</t>
  </si>
  <si>
    <t>北海道北斗市七重浜4-44-1 イオン上磯店1F</t>
  </si>
  <si>
    <t>0138-49-7921</t>
  </si>
  <si>
    <t>TEL 0138-49-7921</t>
  </si>
  <si>
    <t>兼0138-49-7921</t>
  </si>
  <si>
    <t>ms9019@miraiyashoten.co.jp</t>
  </si>
  <si>
    <t>06-R-09</t>
  </si>
  <si>
    <t>北海道北斗市</t>
  </si>
  <si>
    <t>0120-1234-5691</t>
  </si>
  <si>
    <t>北海道支店　0120-1234-5691</t>
  </si>
  <si>
    <t>06-R-09  15155</t>
  </si>
  <si>
    <t>026663</t>
  </si>
  <si>
    <t>43T70</t>
  </si>
  <si>
    <t>未来屋書店 江別野幌店</t>
  </si>
  <si>
    <t>9345　江別野幌</t>
  </si>
  <si>
    <t>069-0813</t>
  </si>
  <si>
    <t>北海道江別市野幌町10-1　イオンタウン江別1Ｆ</t>
  </si>
  <si>
    <t>011-391-3771</t>
  </si>
  <si>
    <t>TEL 011-391-3771</t>
  </si>
  <si>
    <t>011-391-3772</t>
  </si>
  <si>
    <t>ms9345@miraiyashoten.co.jp</t>
  </si>
  <si>
    <t>05-R-15</t>
  </si>
  <si>
    <t>0120-1234-5692</t>
  </si>
  <si>
    <t>北海道支店　0120-1234-5692</t>
  </si>
  <si>
    <t>05-R-15  15097</t>
  </si>
  <si>
    <t>040408</t>
  </si>
  <si>
    <t>44T07</t>
  </si>
  <si>
    <t>未来屋書店 苗穂店</t>
  </si>
  <si>
    <t>9386　苗穂</t>
  </si>
  <si>
    <t>007-0802</t>
  </si>
  <si>
    <t>北海道札幌市東区東苗穂2条3丁目1番1号　イオンモール札幌苗穂2Ｆ</t>
  </si>
  <si>
    <t>011-782-3915</t>
  </si>
  <si>
    <t>TEL 011-782-3915</t>
  </si>
  <si>
    <t>011-782-3916</t>
  </si>
  <si>
    <t>ms9386@miraiyashoten.co.jp</t>
  </si>
  <si>
    <t>02-R-09</t>
  </si>
  <si>
    <t>0120-1234-5693</t>
  </si>
  <si>
    <t>北海道支店　0120-1234-5693</t>
  </si>
  <si>
    <t>02-R-09  15151</t>
  </si>
  <si>
    <t>036843</t>
  </si>
  <si>
    <t>43T01</t>
  </si>
  <si>
    <t>013463</t>
  </si>
  <si>
    <t>未来屋書店 西岡店</t>
  </si>
  <si>
    <t>9396　西岡</t>
  </si>
  <si>
    <t>062-0033</t>
  </si>
  <si>
    <t>北海道札幌市豊平区西岡三条三丁目4番1号　イオン札幌西岡ＳＣ2Ｆ</t>
  </si>
  <si>
    <t>011-859-3556</t>
  </si>
  <si>
    <t>TEL 011-859-3556</t>
  </si>
  <si>
    <t>011-859-3557</t>
  </si>
  <si>
    <t>ms9396@miraiyashoten.co.jp</t>
  </si>
  <si>
    <t>D30-02</t>
  </si>
  <si>
    <t>0120-1234-5694</t>
  </si>
  <si>
    <t>K1835-178</t>
  </si>
  <si>
    <t>D30-02  212630</t>
  </si>
  <si>
    <t>042913</t>
  </si>
  <si>
    <t>D70-00</t>
  </si>
  <si>
    <t>未来屋書店 新七戸店</t>
  </si>
  <si>
    <t>1643　新七戸</t>
  </si>
  <si>
    <t>039-2501</t>
  </si>
  <si>
    <t>02青森・秋田・岩手</t>
  </si>
  <si>
    <t>青森県上北郡七戸町字荒熊内67番地990　イオン七戸SC1Ｆ</t>
  </si>
  <si>
    <t>0176-60-1051</t>
  </si>
  <si>
    <t>TEL 0176-60-1051</t>
  </si>
  <si>
    <t>0176-60-1052</t>
  </si>
  <si>
    <t>ms1643@miraiyashoten.co.jp</t>
  </si>
  <si>
    <t>11-R-63</t>
  </si>
  <si>
    <t>青森県上北郡</t>
  </si>
  <si>
    <t>本社</t>
  </si>
  <si>
    <t>0120-1234-5695</t>
  </si>
  <si>
    <t>03-3266-9426</t>
  </si>
  <si>
    <t>トーハン本社注文ＦＡＸ番号【　０３－３２６６－９４２６　】</t>
  </si>
  <si>
    <t>本社　0120-1234-5695</t>
  </si>
  <si>
    <t>11-R-63  22803</t>
  </si>
  <si>
    <t>043444</t>
  </si>
  <si>
    <t>44T11</t>
  </si>
  <si>
    <t>未来屋書店 十和田店</t>
  </si>
  <si>
    <t>8925　十和田</t>
  </si>
  <si>
    <t>034-0041</t>
  </si>
  <si>
    <t>青森県十和田市大字相坂字六日町山166番1　イオンSuC十和田店1Ｆ</t>
  </si>
  <si>
    <t>0176-21-1506</t>
  </si>
  <si>
    <t>TEL 0176-21-1506</t>
  </si>
  <si>
    <t>0176-21-1507</t>
  </si>
  <si>
    <t>ms8925@miraiyashoten.co.jp</t>
  </si>
  <si>
    <t>D41-52</t>
  </si>
  <si>
    <t>青森県十和田市</t>
  </si>
  <si>
    <t>0120-1234-5696</t>
  </si>
  <si>
    <t>K1835-25</t>
  </si>
  <si>
    <t>D41-52  317010</t>
  </si>
  <si>
    <t>038625</t>
  </si>
  <si>
    <t>未来屋書店 八戸店</t>
  </si>
  <si>
    <t>9315　八戸</t>
  </si>
  <si>
    <t>031-0801</t>
  </si>
  <si>
    <t>青森県八戸市江陽2-14-1　ラピア3F</t>
  </si>
  <si>
    <t>0178-73-3560</t>
  </si>
  <si>
    <t>TEL 0178-73-3560</t>
  </si>
  <si>
    <t>0178-73-3561</t>
  </si>
  <si>
    <t>ms9315@miraiyashoten.co.jp</t>
  </si>
  <si>
    <t>D41-04</t>
  </si>
  <si>
    <t>青森県八戸市</t>
  </si>
  <si>
    <t>0120-1234-5697</t>
  </si>
  <si>
    <t>K1835-21</t>
  </si>
  <si>
    <t>D41-04  313040</t>
  </si>
  <si>
    <t>036467</t>
  </si>
  <si>
    <t>未来屋書店 三川店</t>
  </si>
  <si>
    <t>4485　三川</t>
  </si>
  <si>
    <t>997-1316</t>
  </si>
  <si>
    <t>山形県東田川郡三川町大字猪子字和田庫１２８－１　イオンモール三川2Ｆ</t>
  </si>
  <si>
    <t>0235-68-0166</t>
  </si>
  <si>
    <t>TEL 0235-68-0166</t>
  </si>
  <si>
    <t>0235-68-0167</t>
  </si>
  <si>
    <t>ms4485@miraiyashoten.co.jp</t>
  </si>
  <si>
    <t>09-R-53</t>
  </si>
  <si>
    <t>山形県東田川郡</t>
  </si>
  <si>
    <t>0120-1234-5698</t>
  </si>
  <si>
    <t>本社　0120-1234-5698</t>
  </si>
  <si>
    <t>09-R-53  25831</t>
  </si>
  <si>
    <t>044316</t>
  </si>
  <si>
    <t>43T12</t>
  </si>
  <si>
    <t>未来屋書店 青森西店</t>
  </si>
  <si>
    <t>8912　青森西</t>
  </si>
  <si>
    <t>038-0006</t>
  </si>
  <si>
    <t>青森県青森市三好2丁目3番地19　マエダガーラモール店2Ｆ</t>
  </si>
  <si>
    <t>017-761-4666</t>
  </si>
  <si>
    <t>TEL 017-761-4666</t>
  </si>
  <si>
    <t>017-761-4667</t>
  </si>
  <si>
    <t>ms8912@miraiyashoten.co.jp</t>
  </si>
  <si>
    <t>06-R-33</t>
  </si>
  <si>
    <t>青森県青森市</t>
  </si>
  <si>
    <t>0120-1234-5699</t>
  </si>
  <si>
    <t>本社　0120-1234-5699</t>
  </si>
  <si>
    <t>06-R-33  22855</t>
  </si>
  <si>
    <t>036862</t>
  </si>
  <si>
    <t>43T53</t>
  </si>
  <si>
    <t>未来屋書店 平賀店</t>
  </si>
  <si>
    <t>9336　平賀</t>
  </si>
  <si>
    <t>036-0111</t>
  </si>
  <si>
    <t>青森県平川市小和森上松岡193-1　マックスバリュ平賀SC1F</t>
  </si>
  <si>
    <t>0172-43-1313</t>
  </si>
  <si>
    <t>TEL 0172-43-1313</t>
  </si>
  <si>
    <t>0172-43-1314</t>
  </si>
  <si>
    <t>ms9336@miraiyashoten.co.jp</t>
  </si>
  <si>
    <t>D41-23</t>
  </si>
  <si>
    <t>青森県平川市</t>
  </si>
  <si>
    <t>0120-1234-5700</t>
  </si>
  <si>
    <t>K1835-119</t>
  </si>
  <si>
    <t>D41-23  315710</t>
  </si>
  <si>
    <t>041144</t>
  </si>
  <si>
    <t>山崎さん指摘により客注番線修正</t>
  </si>
  <si>
    <t>未来屋書店 藤崎店</t>
  </si>
  <si>
    <t>9360　藤崎</t>
  </si>
  <si>
    <t>038-3803</t>
  </si>
  <si>
    <t>青森県南津軽郡藤崎町大字西豊田1-7-1　イオン藤崎店1Ｆ</t>
  </si>
  <si>
    <t>0172-89-7361</t>
  </si>
  <si>
    <t>TEL 0172-89-7361</t>
  </si>
  <si>
    <t>0172-89-7362</t>
  </si>
  <si>
    <t>ms9360@miraiyashoten.co.jp</t>
  </si>
  <si>
    <t>D41-69</t>
  </si>
  <si>
    <t>青森県南津軽郡</t>
  </si>
  <si>
    <t>0120-1234-5701</t>
  </si>
  <si>
    <t>K1835-26</t>
  </si>
  <si>
    <t>D41-69  317260</t>
  </si>
  <si>
    <t>036142</t>
  </si>
  <si>
    <t>未来屋書店 弘前樋の口店</t>
  </si>
  <si>
    <t>9379　弘前樋の口</t>
  </si>
  <si>
    <t>036-8278</t>
  </si>
  <si>
    <t>青森県弘前市大字樋の口2丁目9-6　イオンタウン弘前樋の口</t>
  </si>
  <si>
    <t>0172-31-3618</t>
  </si>
  <si>
    <t>TEL 0172-31-3618</t>
  </si>
  <si>
    <t>0172-31-3628</t>
  </si>
  <si>
    <t>ms9379@miraiyashoten.co.jp</t>
  </si>
  <si>
    <t>02-R-34</t>
  </si>
  <si>
    <t>青森県弘前市</t>
  </si>
  <si>
    <t>0120-1234-5702</t>
  </si>
  <si>
    <t>本社　0120-1234-5702</t>
  </si>
  <si>
    <t>02-R-34  22851</t>
  </si>
  <si>
    <t>039677</t>
  </si>
  <si>
    <t>43T08</t>
  </si>
  <si>
    <t>未来屋書店 大曲店</t>
  </si>
  <si>
    <t>8975　大曲</t>
  </si>
  <si>
    <t>014-0033</t>
  </si>
  <si>
    <t>秋田県大仙市和合字坪立177番地　イオンモール大曲1Ｆ</t>
  </si>
  <si>
    <t>0187-66-3922</t>
  </si>
  <si>
    <t>TEL 0187-66-3922</t>
  </si>
  <si>
    <t>0187-66-3923</t>
  </si>
  <si>
    <t>ms8975@miraiyashoten.co.jp</t>
  </si>
  <si>
    <t>A18-01</t>
  </si>
  <si>
    <t>秋田県大仙市</t>
  </si>
  <si>
    <t>0120-1234-5703</t>
  </si>
  <si>
    <t>K1835-155</t>
  </si>
  <si>
    <t>A18-01  324790</t>
  </si>
  <si>
    <t>041415</t>
  </si>
  <si>
    <t>050504</t>
  </si>
  <si>
    <t>未来屋書店 中仙店</t>
  </si>
  <si>
    <t>9327　中仙</t>
  </si>
  <si>
    <t>014-0203</t>
  </si>
  <si>
    <t>秋田県大仙市北長野字袴田188　イオン中仙店1F</t>
  </si>
  <si>
    <t>0187-52-6215</t>
  </si>
  <si>
    <t>TEL 0187-52-6215</t>
  </si>
  <si>
    <t>0187-52-6216</t>
  </si>
  <si>
    <t>ms9327@miraiyashoten.co.jp</t>
  </si>
  <si>
    <t>A17-22</t>
  </si>
  <si>
    <t>0120-1234-5704</t>
  </si>
  <si>
    <t>K1835-29</t>
  </si>
  <si>
    <t>A17-22  323310</t>
  </si>
  <si>
    <t>036079</t>
  </si>
  <si>
    <t>未来屋書店 横手南店</t>
  </si>
  <si>
    <t>9367　横手南</t>
  </si>
  <si>
    <t>013-0063</t>
  </si>
  <si>
    <t>秋田県横手市婦気大堤字中田4-1　イオンSuC横手南店2Ｆ</t>
  </si>
  <si>
    <t>0182-35-7355</t>
  </si>
  <si>
    <t>TEL 0182-35-7355</t>
  </si>
  <si>
    <t>0182-35-7356</t>
  </si>
  <si>
    <t>ms9367@miraiyashoten.co.jp</t>
  </si>
  <si>
    <t>A17-45</t>
  </si>
  <si>
    <t>秋田県横手市</t>
  </si>
  <si>
    <t>0120-1234-5705</t>
  </si>
  <si>
    <t>K1835-28</t>
  </si>
  <si>
    <t>A17-45  322720</t>
  </si>
  <si>
    <t>037424</t>
  </si>
  <si>
    <t>未来屋書店 矢巾店</t>
  </si>
  <si>
    <t>8978　矢巾</t>
  </si>
  <si>
    <t>028-3615</t>
  </si>
  <si>
    <t>岩手県紫波郡矢巾町南矢幅第7地割376番地</t>
  </si>
  <si>
    <t>019-698-2611</t>
  </si>
  <si>
    <t>TEL 019-698-2611</t>
  </si>
  <si>
    <t>019-698-2612</t>
  </si>
  <si>
    <t>ms8978@miraiyashoten.co.jp</t>
  </si>
  <si>
    <t>02-R-39</t>
  </si>
  <si>
    <t>岩手県紫波郡</t>
  </si>
  <si>
    <t>0120-1234-5706</t>
  </si>
  <si>
    <t>本社　0120-1234-5706</t>
  </si>
  <si>
    <t>02-R-39  23782</t>
  </si>
  <si>
    <t>043145</t>
  </si>
  <si>
    <t>43T10</t>
  </si>
  <si>
    <t>未来屋書店 江釣子パル店</t>
  </si>
  <si>
    <t>9333　江釣子パル</t>
  </si>
  <si>
    <t>024-0072</t>
  </si>
  <si>
    <t>岩手県北上市北鬼柳19-68　江釣子パル店 1階</t>
  </si>
  <si>
    <t>0197-61-5025</t>
  </si>
  <si>
    <t>TEL 0197-61-5025</t>
  </si>
  <si>
    <t>0197-61-5026</t>
  </si>
  <si>
    <t>ms9333@miraiyashoten.co.jp</t>
  </si>
  <si>
    <t>D43-21</t>
  </si>
  <si>
    <t>岩手県北上市</t>
  </si>
  <si>
    <t>0120-1234-5707</t>
  </si>
  <si>
    <t>K1835-32</t>
  </si>
  <si>
    <t>D43-21  332170</t>
  </si>
  <si>
    <t>039042</t>
  </si>
  <si>
    <t>未来屋書店 酒田南店</t>
  </si>
  <si>
    <t>9328　酒田南</t>
  </si>
  <si>
    <t>998-0828</t>
  </si>
  <si>
    <t>山形県酒田市あきほ町120-1　イオン酒田南店２F</t>
  </si>
  <si>
    <t>0234-21-1033</t>
  </si>
  <si>
    <t>TEL 0234-21-1033</t>
  </si>
  <si>
    <t>0234-21-1034</t>
  </si>
  <si>
    <t>ms9328@miraiyashoten.co.jp</t>
  </si>
  <si>
    <t>A60-23</t>
  </si>
  <si>
    <t>山形県酒田市</t>
  </si>
  <si>
    <t>0120-1234-5708</t>
  </si>
  <si>
    <t>K1835-46</t>
  </si>
  <si>
    <t>A60-23  367720</t>
  </si>
  <si>
    <t>036082</t>
  </si>
  <si>
    <t>未来屋書店 酒田北店</t>
  </si>
  <si>
    <t>9361　酒田北</t>
  </si>
  <si>
    <t>998-0018</t>
  </si>
  <si>
    <t>山形県酒田市泉町201番地　イオンタウン酒田</t>
  </si>
  <si>
    <t>0234-33-3939</t>
  </si>
  <si>
    <t>TEL 0234-33-3939</t>
  </si>
  <si>
    <t>0234-33-3940</t>
  </si>
  <si>
    <t>ms9361@miraiyashoten.co.jp</t>
  </si>
  <si>
    <t>05-R-21</t>
  </si>
  <si>
    <t>0120-1234-5709</t>
  </si>
  <si>
    <t>本社　0120-1234-5709</t>
  </si>
  <si>
    <t>05-R-21  25835</t>
  </si>
  <si>
    <t>027983</t>
  </si>
  <si>
    <t>43T48</t>
  </si>
  <si>
    <t>未来屋書店 秋田店</t>
  </si>
  <si>
    <t>9337　秋田</t>
  </si>
  <si>
    <t>010-1413</t>
  </si>
  <si>
    <t>秋田県秋田市御所野地蔵田1-1-1　イオンモール秋田2Ｆ</t>
  </si>
  <si>
    <t>018-892-6533</t>
  </si>
  <si>
    <t>TEL 018-892-6533</t>
  </si>
  <si>
    <t>018-892-6545</t>
  </si>
  <si>
    <t>ms9337@miraiyashoten.co.jp</t>
  </si>
  <si>
    <t>98-L-81</t>
  </si>
  <si>
    <t>秋田県秋田市</t>
  </si>
  <si>
    <t>0120-1234-5710</t>
  </si>
  <si>
    <t>本社　0120-1234-5710</t>
  </si>
  <si>
    <t>98-L-81  26666</t>
  </si>
  <si>
    <t>042692</t>
  </si>
  <si>
    <t>43T14</t>
  </si>
  <si>
    <t>050482</t>
  </si>
  <si>
    <t>未来屋書店 土崎港店</t>
  </si>
  <si>
    <t>9342　土崎港</t>
  </si>
  <si>
    <t>011-0943</t>
  </si>
  <si>
    <t>秋田県秋田市土崎港南2-3-41　イオン土崎港店１F</t>
  </si>
  <si>
    <t>018-816-0223</t>
  </si>
  <si>
    <t>TEL 018-816-0223</t>
  </si>
  <si>
    <t>018-816-0228</t>
  </si>
  <si>
    <t>ms9342@miraiyashoten.co.jp</t>
  </si>
  <si>
    <t>04-R-08</t>
  </si>
  <si>
    <t>0120-1234-5711</t>
  </si>
  <si>
    <t>本社　0120-1234-5711</t>
  </si>
  <si>
    <t>04-R-08  26670</t>
  </si>
  <si>
    <t>036377</t>
  </si>
  <si>
    <t>43T43</t>
  </si>
  <si>
    <t>未来屋書店 能代店</t>
  </si>
  <si>
    <t>31825　能代</t>
  </si>
  <si>
    <t>016-0121</t>
  </si>
  <si>
    <t>秋田県能代市鰄渕字古屋布１番イオンタウン能代１F</t>
  </si>
  <si>
    <t>0185-74-7865</t>
  </si>
  <si>
    <t>TEL 0185-74-7865</t>
  </si>
  <si>
    <t>0185-74-7866</t>
  </si>
  <si>
    <t>ms31825@miraiyashoten.co.jp</t>
  </si>
  <si>
    <t>A18-19</t>
  </si>
  <si>
    <t>秋田県能代市</t>
  </si>
  <si>
    <t>0120-1234-5712</t>
  </si>
  <si>
    <t>K1835-320</t>
  </si>
  <si>
    <t>A18-19  328850</t>
  </si>
  <si>
    <t>047243</t>
  </si>
  <si>
    <t>コンセ能代H</t>
  </si>
  <si>
    <t>未来屋書店 コンセ能代H店</t>
  </si>
  <si>
    <t>12566　コンセ能代H</t>
  </si>
  <si>
    <t>016-0825</t>
  </si>
  <si>
    <t>秋田県能代市柳町11-1　イオン能代店内書籍売場</t>
  </si>
  <si>
    <t>0185-55-2355</t>
  </si>
  <si>
    <t>TEL 0185-55-2355</t>
  </si>
  <si>
    <t>ms12566@miraiyashoten.co.jp</t>
  </si>
  <si>
    <t>0120-1234-5713</t>
  </si>
  <si>
    <t/>
  </si>
  <si>
    <t>045672</t>
  </si>
  <si>
    <t>A44-51</t>
  </si>
  <si>
    <t>ミライア本荘</t>
  </si>
  <si>
    <t>未来屋書店 ミライア本荘店</t>
  </si>
  <si>
    <t>9383　ミライア本荘</t>
  </si>
  <si>
    <t>015-0843</t>
  </si>
  <si>
    <t>秋田県由利本荘市東梵天257</t>
  </si>
  <si>
    <t>0184-27-1367</t>
  </si>
  <si>
    <t>TEL 0184-27-1367</t>
  </si>
  <si>
    <t>0184-23-1272</t>
  </si>
  <si>
    <t>ms9383@miraiyashoten.co.jp</t>
  </si>
  <si>
    <t>A17-07</t>
  </si>
  <si>
    <t>秋田県由利本荘市</t>
  </si>
  <si>
    <t>0120-1234-5714</t>
  </si>
  <si>
    <t>K1835-27</t>
  </si>
  <si>
    <t>A17-07  321760</t>
  </si>
  <si>
    <t>029730</t>
  </si>
  <si>
    <t>050547</t>
  </si>
  <si>
    <t>未来屋書店 仙台中山店</t>
  </si>
  <si>
    <t>8938　仙台中山</t>
  </si>
  <si>
    <t>981-3213</t>
  </si>
  <si>
    <t>03宮城・福島・山形</t>
  </si>
  <si>
    <t>宮城県仙台市泉区南中山１丁目３５－５７</t>
  </si>
  <si>
    <t>022-303-2570</t>
  </si>
  <si>
    <t>TEL 022-303-2570</t>
  </si>
  <si>
    <t>022-303-2571</t>
  </si>
  <si>
    <t>ms8938@miraiyashoten.co.jp</t>
  </si>
  <si>
    <t>02-R-37</t>
  </si>
  <si>
    <t>宮城県仙台市</t>
  </si>
  <si>
    <t>0120-1234-5715</t>
  </si>
  <si>
    <t>本社　0120-1234-5715</t>
  </si>
  <si>
    <t>02-R-37  20662</t>
  </si>
  <si>
    <t>032254</t>
  </si>
  <si>
    <t>44T09</t>
  </si>
  <si>
    <t>040487</t>
  </si>
  <si>
    <t>未来屋書店 名取店</t>
  </si>
  <si>
    <t>9314　名取</t>
  </si>
  <si>
    <t>981-1294</t>
  </si>
  <si>
    <t>宮城県名取市杜せきのした5丁目3番地の1　イオンモール名取3F</t>
  </si>
  <si>
    <t>022-382-5208</t>
  </si>
  <si>
    <t>TEL 022-382-5208</t>
  </si>
  <si>
    <t>022-381-1084</t>
  </si>
  <si>
    <t>ms9314@miraiyashoten.co.jp</t>
  </si>
  <si>
    <t>94-L-08</t>
  </si>
  <si>
    <t>宮城県名取市</t>
  </si>
  <si>
    <t>0120-1234-5716</t>
  </si>
  <si>
    <t>本社　0120-1234-5716</t>
  </si>
  <si>
    <t>94-L-08  20649</t>
  </si>
  <si>
    <t>039809</t>
  </si>
  <si>
    <t>43T06</t>
  </si>
  <si>
    <t>040533</t>
  </si>
  <si>
    <t>未来屋書店 亘理店</t>
  </si>
  <si>
    <t>2718　亘理</t>
  </si>
  <si>
    <t>989-2324</t>
  </si>
  <si>
    <t>宮城県亘理郡亘理町逢隈高屋字柴北１００番地　亘理ＳＣ内</t>
  </si>
  <si>
    <t>0223-32-9606</t>
  </si>
  <si>
    <t>TEL 0223-32-9606</t>
  </si>
  <si>
    <t>0223-32-9605</t>
  </si>
  <si>
    <t>ms2718@miraiyashoten.co.jp</t>
  </si>
  <si>
    <t>A21-23</t>
  </si>
  <si>
    <t>宮城県亘理郡</t>
  </si>
  <si>
    <t>0120-1234-5717</t>
  </si>
  <si>
    <t>K1835-42</t>
  </si>
  <si>
    <t>A21-23  348510</t>
  </si>
  <si>
    <t>032781</t>
  </si>
  <si>
    <t>未来屋書店 東根店</t>
  </si>
  <si>
    <t>3493　東根</t>
  </si>
  <si>
    <t>999-3720</t>
  </si>
  <si>
    <t>山形県東根市さくらんぼ駅前３丁目７番１５号　イオン東根店2F</t>
  </si>
  <si>
    <t>0237-36-0187</t>
  </si>
  <si>
    <t>TEL 0237-36-0187</t>
  </si>
  <si>
    <t>0237-36-0195</t>
  </si>
  <si>
    <t>ms3493@miraiyashoten.co.jp</t>
  </si>
  <si>
    <t>A60-21</t>
  </si>
  <si>
    <t>山形県東根市</t>
  </si>
  <si>
    <t>0120-1234-5718</t>
  </si>
  <si>
    <t>K1835-47</t>
  </si>
  <si>
    <t>A60-21  368530</t>
  </si>
  <si>
    <t>035636</t>
  </si>
  <si>
    <t>未来屋書店 気仙沼店</t>
  </si>
  <si>
    <t>5759　気仙沼</t>
  </si>
  <si>
    <t>988-0101</t>
  </si>
  <si>
    <t>宮城県気仙沼市字赤岩舘下６ー１外　イオン気仙沼店２Ｆ</t>
  </si>
  <si>
    <t>0226-21-1171</t>
  </si>
  <si>
    <t>TEL 0226-21-1171</t>
  </si>
  <si>
    <t>0226-21-1172</t>
  </si>
  <si>
    <t>ms5759@miraiyashoten.co.jp</t>
  </si>
  <si>
    <t>A22-24</t>
  </si>
  <si>
    <t>宮城県気仙沼市</t>
  </si>
  <si>
    <t>0120-1234-5719</t>
  </si>
  <si>
    <t>K1835-41</t>
  </si>
  <si>
    <t>A22-24  348010</t>
  </si>
  <si>
    <t>035851</t>
  </si>
  <si>
    <t>未来屋書店 前沢店</t>
  </si>
  <si>
    <t>7841　前沢</t>
  </si>
  <si>
    <t>029-4204</t>
  </si>
  <si>
    <t>岩手県奥州市前沢向田２-８５　イオン前沢店１Ｆ</t>
  </si>
  <si>
    <t>0197-56-0622</t>
  </si>
  <si>
    <t>TEL 0197-56-0622</t>
  </si>
  <si>
    <t>0197-56-0623</t>
  </si>
  <si>
    <t>ms7841@miraiyashoten.co.jp</t>
  </si>
  <si>
    <t>04-R-03</t>
  </si>
  <si>
    <t>岩手県奥州市</t>
  </si>
  <si>
    <t>0120-1234-5720</t>
  </si>
  <si>
    <t>本社　0120-1234-5720</t>
  </si>
  <si>
    <t>04-R-03  23786</t>
  </si>
  <si>
    <t>035958</t>
  </si>
  <si>
    <t>43T64</t>
  </si>
  <si>
    <t>未来屋書店 一関店</t>
  </si>
  <si>
    <t>9395　一関</t>
  </si>
  <si>
    <t>021-0055</t>
  </si>
  <si>
    <t>岩手県一関市山目字泥田89-1　イオン一関店1F</t>
  </si>
  <si>
    <t>0191-33-1810</t>
  </si>
  <si>
    <t>TEL 0191-33-1810</t>
  </si>
  <si>
    <t>0191-33-1812</t>
  </si>
  <si>
    <t>ms9395@miraiyashoten.co.jp</t>
  </si>
  <si>
    <t>D32-24</t>
  </si>
  <si>
    <t>岩手県一関市</t>
  </si>
  <si>
    <t>0120-1234-5721</t>
  </si>
  <si>
    <t>K1835-216</t>
  </si>
  <si>
    <t>D32-24  332350</t>
  </si>
  <si>
    <t>015540</t>
  </si>
  <si>
    <t>未来屋書店 天童店</t>
  </si>
  <si>
    <t>5859　天童</t>
  </si>
  <si>
    <t>994-0082</t>
  </si>
  <si>
    <t>山形県天童市芳賀タウン北四丁目1番1号　イオンモール天童2Ｆ</t>
  </si>
  <si>
    <t>023-652-0791</t>
  </si>
  <si>
    <t>TEL 023-652-0791</t>
  </si>
  <si>
    <t>023-652-0792</t>
  </si>
  <si>
    <t>ms5859@miraiyashoten.co.jp</t>
  </si>
  <si>
    <t>03-R-08</t>
  </si>
  <si>
    <t>山形県天童市</t>
  </si>
  <si>
    <t>0120-1234-5722</t>
  </si>
  <si>
    <t>本社　0120-1234-5722</t>
  </si>
  <si>
    <t>03-R-08  25116</t>
  </si>
  <si>
    <t>044433</t>
  </si>
  <si>
    <t>44T12</t>
  </si>
  <si>
    <t>060615</t>
  </si>
  <si>
    <t>未来屋書店 古川店</t>
  </si>
  <si>
    <t>7838　古川</t>
  </si>
  <si>
    <t>989-6117</t>
  </si>
  <si>
    <t>宮城県大崎市古川旭2-2-1　イオン古川店２Ｆ</t>
  </si>
  <si>
    <t>0229-21-1671</t>
  </si>
  <si>
    <t>TEL 0229-21-1671</t>
  </si>
  <si>
    <t>0229-21-1673</t>
  </si>
  <si>
    <t>ms7838@miraiyashoten.co.jp</t>
  </si>
  <si>
    <t>06-R-55</t>
  </si>
  <si>
    <t>宮城県大崎市</t>
  </si>
  <si>
    <t>0120-1234-5723</t>
  </si>
  <si>
    <t>本社　0120-1234-5723</t>
  </si>
  <si>
    <t>06-R-55  20653</t>
  </si>
  <si>
    <t>035852</t>
  </si>
  <si>
    <t>43T61</t>
  </si>
  <si>
    <t>未来屋書店 石巻店</t>
  </si>
  <si>
    <t>9324　石巻</t>
  </si>
  <si>
    <t>986-0866</t>
  </si>
  <si>
    <t>宮城県石巻市茜平4丁目104番地　イオンモール石巻2F</t>
  </si>
  <si>
    <t>0225-94-2260</t>
  </si>
  <si>
    <t>TEL 0225-94-2260</t>
  </si>
  <si>
    <t>0225-92-0150</t>
  </si>
  <si>
    <t>ms9324@miraiyashoten.co.jp</t>
  </si>
  <si>
    <t>03-R-02</t>
  </si>
  <si>
    <t>宮城県石巻市</t>
  </si>
  <si>
    <t>0120-1234-5724</t>
  </si>
  <si>
    <t>本社　0120-1234-5724</t>
  </si>
  <si>
    <t>03-R-02  20666</t>
  </si>
  <si>
    <t>039877</t>
  </si>
  <si>
    <t>44T10</t>
  </si>
  <si>
    <t>040657</t>
  </si>
  <si>
    <t>未来屋書店 仙台幸町店</t>
  </si>
  <si>
    <t>8956　仙台幸町</t>
  </si>
  <si>
    <t>983-0836</t>
  </si>
  <si>
    <t>宮城県仙台市宮城野区幸町5-10-1　イオン仙台幸町ＳＣ2Ｆ</t>
  </si>
  <si>
    <t>022-292-4181</t>
  </si>
  <si>
    <t>TEL 022-292-4181</t>
  </si>
  <si>
    <t>022-292-4182</t>
  </si>
  <si>
    <t>ms8956@miraiyashoten.co.jp</t>
  </si>
  <si>
    <t>A06-20</t>
  </si>
  <si>
    <t>0120-1234-5725</t>
  </si>
  <si>
    <t>K1835-36</t>
  </si>
  <si>
    <t>A06-20  342110</t>
  </si>
  <si>
    <t>037137</t>
  </si>
  <si>
    <t>未来屋書店 塩釜店</t>
  </si>
  <si>
    <t>9312　塩釜</t>
  </si>
  <si>
    <t>985-0002</t>
  </si>
  <si>
    <t>宮城県塩竈市海岸通15番地100　イオンタウン塩釜2Ｆ</t>
  </si>
  <si>
    <t>022-361-8660</t>
  </si>
  <si>
    <t>TEL 022-361-8660</t>
  </si>
  <si>
    <t>022-361-8710</t>
  </si>
  <si>
    <t>ms9312@miraiyashoten.co.jp</t>
  </si>
  <si>
    <t>A23-40</t>
  </si>
  <si>
    <t>宮城県塩竈市</t>
  </si>
  <si>
    <t>0120-1234-5726</t>
  </si>
  <si>
    <t>K1835-16</t>
  </si>
  <si>
    <t>A23-40  348900</t>
  </si>
  <si>
    <t>040002</t>
  </si>
  <si>
    <t>未来屋書店 多賀城店</t>
  </si>
  <si>
    <t>9339　多賀城</t>
  </si>
  <si>
    <t>985-0845</t>
  </si>
  <si>
    <t>宮城県多賀城市町前4-1-1　イオン多賀城店3F</t>
  </si>
  <si>
    <t>022-361-1430</t>
  </si>
  <si>
    <t>TEL 022-361-1430</t>
  </si>
  <si>
    <t>022-361-1432</t>
  </si>
  <si>
    <t>ms9339@miraiyashoten.co.jp</t>
  </si>
  <si>
    <t>A21-40</t>
  </si>
  <si>
    <t>宮城県多賀城市</t>
  </si>
  <si>
    <t>0120-1234-5727</t>
  </si>
  <si>
    <t>K1835-38</t>
  </si>
  <si>
    <t>A21-40  346290</t>
  </si>
  <si>
    <t>036376</t>
  </si>
  <si>
    <t>未来屋書店 富谷店</t>
  </si>
  <si>
    <t>9398　富谷</t>
  </si>
  <si>
    <t>981-3329</t>
  </si>
  <si>
    <t>宮城県富谷市大清水1丁目33番地1　イオンモール富谷2Ｆ</t>
  </si>
  <si>
    <t>022-348-1387</t>
  </si>
  <si>
    <t>TEL 022-348-1387</t>
  </si>
  <si>
    <t>022-348-1385</t>
  </si>
  <si>
    <t>ms9398@miraiyashoten.co.jp</t>
  </si>
  <si>
    <t>A21-24</t>
  </si>
  <si>
    <t>宮城県富谷市</t>
  </si>
  <si>
    <t>0120-1234-5728</t>
  </si>
  <si>
    <t>K1835-43</t>
  </si>
  <si>
    <t>A21-24  348660</t>
  </si>
  <si>
    <t>036634</t>
  </si>
  <si>
    <t>040495</t>
  </si>
  <si>
    <t>未来屋書店 郡山フェスタ店</t>
  </si>
  <si>
    <t>9340　郡山フェスタ</t>
  </si>
  <si>
    <t>963-0534</t>
  </si>
  <si>
    <t>福島県郡山市日和田町字小原１　イオン郡山ﾌｪｽﾀ店２F</t>
  </si>
  <si>
    <t>024-968-0638</t>
  </si>
  <si>
    <t>TEL 024-968-0638</t>
  </si>
  <si>
    <t>024-968-0639</t>
  </si>
  <si>
    <t>ms9340@miraiyashoten.co.jp</t>
  </si>
  <si>
    <t>A61-12</t>
  </si>
  <si>
    <t>福島県郡山市</t>
  </si>
  <si>
    <t>0120-1234-5729</t>
  </si>
  <si>
    <t>K1835-49</t>
  </si>
  <si>
    <t>A61-12  377110</t>
  </si>
  <si>
    <t>036379</t>
  </si>
  <si>
    <t>未来屋書店 白河西郷店</t>
  </si>
  <si>
    <t>9391　白河西郷</t>
  </si>
  <si>
    <t>961-8061</t>
  </si>
  <si>
    <t>福島県西白河郡西郷村大字小田倉字岩下11-1　イオン白河西郷２F</t>
  </si>
  <si>
    <t>0248-31-1611</t>
  </si>
  <si>
    <t>TEL 0248-31-1611</t>
  </si>
  <si>
    <t>0248-31-1612</t>
  </si>
  <si>
    <t>ms9391@miraiyashoten.co.jp</t>
  </si>
  <si>
    <t>A61-26</t>
  </si>
  <si>
    <t>福島県西白河郡</t>
  </si>
  <si>
    <t>0120-1234-5730</t>
  </si>
  <si>
    <t>K1835-48</t>
  </si>
  <si>
    <t>A61-26  374370</t>
  </si>
  <si>
    <t>036081</t>
  </si>
  <si>
    <t>未来屋書店 新利府南館店</t>
  </si>
  <si>
    <t>72259　新利府南館</t>
  </si>
  <si>
    <t>981-0114</t>
  </si>
  <si>
    <t>宮城県宮城郡利府町新中道3丁目1－1 イオンモール新利府南館2F</t>
  </si>
  <si>
    <t>022-253-7892</t>
  </si>
  <si>
    <t>TEL 022-253-7892</t>
  </si>
  <si>
    <t>022-253-7893</t>
  </si>
  <si>
    <t>ms72259@miraiyashoten.co.jp</t>
  </si>
  <si>
    <t>10-R-54</t>
  </si>
  <si>
    <t>宮城県宮城郡</t>
  </si>
  <si>
    <t>0120-1234-5731</t>
  </si>
  <si>
    <t>本社　0120-1234-5731</t>
  </si>
  <si>
    <t>10-R-54  20645</t>
  </si>
  <si>
    <t>047088</t>
  </si>
  <si>
    <t>43T41</t>
  </si>
  <si>
    <t>040525</t>
  </si>
  <si>
    <t>未来屋書店 新利府北館店</t>
  </si>
  <si>
    <t>72777　新利府北館</t>
  </si>
  <si>
    <t>981-0112</t>
  </si>
  <si>
    <t>宮城県宮城郡利府町利府字新屋田前22　イオンモール新利府北館2Ｆ</t>
  </si>
  <si>
    <t>022-349-1877</t>
  </si>
  <si>
    <t>TEL 022-349-1877</t>
  </si>
  <si>
    <t>022-349-1172</t>
  </si>
  <si>
    <t>ms72777@miraiyashoten.co.jp</t>
  </si>
  <si>
    <t>05-R-40</t>
  </si>
  <si>
    <t>0120-1234-5732</t>
  </si>
  <si>
    <t>本社　0120-1234-5732</t>
  </si>
  <si>
    <t>05-R-40  20641</t>
  </si>
  <si>
    <t>032822</t>
  </si>
  <si>
    <t>43T75</t>
  </si>
  <si>
    <t>未来屋書店 つくば店</t>
  </si>
  <si>
    <t>9220　つくば</t>
  </si>
  <si>
    <t>305-0071</t>
  </si>
  <si>
    <t>04北関東</t>
  </si>
  <si>
    <t>茨城県つくば市稲岡６６－１　イオンモールつくば2F</t>
  </si>
  <si>
    <t>029-839-2057</t>
  </si>
  <si>
    <t>TEL 029-839-2057</t>
  </si>
  <si>
    <t>029-839-2058</t>
  </si>
  <si>
    <t>ms9220@miraiyashoten.co.jp</t>
  </si>
  <si>
    <t>A51-15</t>
  </si>
  <si>
    <t>茨城県つくば市</t>
  </si>
  <si>
    <t>0120-1234-5733</t>
  </si>
  <si>
    <t>K1835-243</t>
  </si>
  <si>
    <t>A51-15  435800</t>
  </si>
  <si>
    <t>044064</t>
  </si>
  <si>
    <t>080632</t>
  </si>
  <si>
    <t>未来屋書店 下妻店</t>
  </si>
  <si>
    <t>8902　下妻</t>
  </si>
  <si>
    <t>304-0033</t>
  </si>
  <si>
    <t>茨城県下妻市堀籠972-1　イオンモール下妻2F</t>
  </si>
  <si>
    <t>0296-30-1262</t>
  </si>
  <si>
    <t>TEL 0296-30-1262</t>
  </si>
  <si>
    <t>0296-30-1263</t>
  </si>
  <si>
    <t>ms8902@miraiyashoten.co.jp</t>
  </si>
  <si>
    <t>04-R-18</t>
  </si>
  <si>
    <t>茨城県下妻市</t>
  </si>
  <si>
    <t>0120-1234-5734</t>
  </si>
  <si>
    <t>本社　0120-1234-5734</t>
  </si>
  <si>
    <t>04-R-18  32412</t>
  </si>
  <si>
    <t>030734</t>
  </si>
  <si>
    <t>43T59</t>
  </si>
  <si>
    <t>未来屋書店 小山店</t>
  </si>
  <si>
    <t>7837　小山</t>
  </si>
  <si>
    <t>323-0806</t>
  </si>
  <si>
    <t>栃木県小山市中久喜１４６７－１　イオンモール小山２Ｆ</t>
  </si>
  <si>
    <t>0285-30-0380</t>
  </si>
  <si>
    <t>TEL 0285-30-0380</t>
  </si>
  <si>
    <t>0285-30-0381</t>
  </si>
  <si>
    <t>ms7837@miraiyashoten.co.jp</t>
  </si>
  <si>
    <t>04-R-32</t>
  </si>
  <si>
    <t>栃木県小山市</t>
  </si>
  <si>
    <t>0120-1234-5735</t>
  </si>
  <si>
    <t>本社　0120-1234-5735</t>
  </si>
  <si>
    <t>04-R-32  35496</t>
  </si>
  <si>
    <t>030180</t>
  </si>
  <si>
    <t>未来屋書店 水戸内原店</t>
  </si>
  <si>
    <t>9338　水戸内原</t>
  </si>
  <si>
    <t>319-0317</t>
  </si>
  <si>
    <t>茨城県水戸市内原２丁目１番地　イオンモール水戸内原3Ｆ</t>
  </si>
  <si>
    <t>029-259-9151</t>
  </si>
  <si>
    <t>TEL 029-259-9151</t>
  </si>
  <si>
    <t>029-259-1631</t>
  </si>
  <si>
    <t>ms9338@miraiyashoten.co.jp</t>
  </si>
  <si>
    <t>18-L-14</t>
  </si>
  <si>
    <t>茨城県水戸市</t>
  </si>
  <si>
    <t>0120-1234-5736</t>
  </si>
  <si>
    <t>本社　0120-1234-5736</t>
  </si>
  <si>
    <t>18-L-14  32413</t>
  </si>
  <si>
    <t>038735</t>
  </si>
  <si>
    <t>43T31</t>
  </si>
  <si>
    <t>080624</t>
  </si>
  <si>
    <t>未来屋書店 土浦店</t>
  </si>
  <si>
    <t>9381　土浦</t>
  </si>
  <si>
    <t>300-0811</t>
  </si>
  <si>
    <t>茨城県土浦市上高津367　イオンモール土浦3Ｆ</t>
  </si>
  <si>
    <t>029-826-8582</t>
  </si>
  <si>
    <t>TEL 029-826-8582</t>
  </si>
  <si>
    <t>029-835-5159</t>
  </si>
  <si>
    <t>ms9381@miraiyashoten.co.jp</t>
  </si>
  <si>
    <t>A52-09</t>
  </si>
  <si>
    <t>茨城県土浦市</t>
  </si>
  <si>
    <t>0120-1234-5737</t>
  </si>
  <si>
    <t>K1835-166</t>
  </si>
  <si>
    <t>A52-09  431320</t>
  </si>
  <si>
    <t>042276</t>
  </si>
  <si>
    <t>084255</t>
  </si>
  <si>
    <t>未来屋書店 佐野新都市店</t>
  </si>
  <si>
    <t>9325　佐野新都市</t>
  </si>
  <si>
    <t>327-0821</t>
  </si>
  <si>
    <t>栃木県佐野市高萩町1324-1　イオンモール佐野新都市1Ｆ</t>
  </si>
  <si>
    <t>0283-20-5869</t>
  </si>
  <si>
    <t>TEL 0283-20-5869</t>
  </si>
  <si>
    <t>0283-20-5864</t>
  </si>
  <si>
    <t>ms9325@miraiyashoten.co.jp</t>
  </si>
  <si>
    <t>A46-25</t>
  </si>
  <si>
    <t>栃木県佐野市</t>
  </si>
  <si>
    <t>0120-1234-5738</t>
  </si>
  <si>
    <t>K1835-147</t>
  </si>
  <si>
    <t>A46-25  421360</t>
  </si>
  <si>
    <t>036726</t>
  </si>
  <si>
    <t>A96-00</t>
  </si>
  <si>
    <t>未来屋書店 栃木店</t>
  </si>
  <si>
    <t>9319　栃木</t>
  </si>
  <si>
    <t>328-8501</t>
  </si>
  <si>
    <t>栃木県栃木市箱森町37-9　イオン栃木店2F</t>
  </si>
  <si>
    <t>0282-20-0668</t>
  </si>
  <si>
    <t>TEL 0282-20-0668</t>
  </si>
  <si>
    <t>0282-20-0669</t>
  </si>
  <si>
    <t>ms9319@miraiyashoten.co.jp</t>
  </si>
  <si>
    <t>A48-91</t>
  </si>
  <si>
    <t>栃木県栃木市</t>
  </si>
  <si>
    <t>0120-1234-5739</t>
  </si>
  <si>
    <t>K1835-163</t>
  </si>
  <si>
    <t>A48-91  421140</t>
  </si>
  <si>
    <t>041509</t>
  </si>
  <si>
    <t>未来屋書店 高崎店</t>
  </si>
  <si>
    <t>31668　高崎</t>
  </si>
  <si>
    <t>370-3521</t>
  </si>
  <si>
    <t>群馬県高崎市棟高町1400番地　イオンモール高崎2Ｆ</t>
  </si>
  <si>
    <t>027-372-7344</t>
  </si>
  <si>
    <t>TEL 027-372-7344</t>
  </si>
  <si>
    <t>027-310-9650</t>
  </si>
  <si>
    <t>ms31668@miraiyashoten.co.jp</t>
  </si>
  <si>
    <t>A46-60</t>
  </si>
  <si>
    <t>群馬県高崎市</t>
  </si>
  <si>
    <t>0120-1234-5740</t>
  </si>
  <si>
    <t>K1835-125</t>
  </si>
  <si>
    <t>A46-60  411800</t>
  </si>
  <si>
    <t>039420</t>
  </si>
  <si>
    <t>100528</t>
  </si>
  <si>
    <t>未来屋書店 上尾店</t>
  </si>
  <si>
    <t>72192　上尾</t>
  </si>
  <si>
    <t>362-0034</t>
  </si>
  <si>
    <t>埼玉県上尾市愛宕3-8-1　イオンモール上尾1Ｆ</t>
  </si>
  <si>
    <t>048-783-4891</t>
  </si>
  <si>
    <t>TEL 048-783-4891</t>
  </si>
  <si>
    <t>048-783-4892</t>
  </si>
  <si>
    <t>ms72192@miraiyashoten.co.jp</t>
  </si>
  <si>
    <t>A54-48</t>
  </si>
  <si>
    <t>埼玉県上尾市</t>
  </si>
  <si>
    <t>0120-1234-5741</t>
  </si>
  <si>
    <t>K1835-319</t>
  </si>
  <si>
    <t>A54-48  476410</t>
  </si>
  <si>
    <t>047034</t>
  </si>
  <si>
    <t>115185</t>
  </si>
  <si>
    <t>未来屋書店 大井店</t>
  </si>
  <si>
    <t>1629　大井</t>
  </si>
  <si>
    <t>356-0050</t>
  </si>
  <si>
    <t>埼玉県ふじみ野市ふじみ野1-2-1　イオン大井店3Ｆ</t>
  </si>
  <si>
    <t>049-278-2550</t>
  </si>
  <si>
    <t>TEL 049-278-2550</t>
  </si>
  <si>
    <t>049-278-2551</t>
  </si>
  <si>
    <t>ms1629@miraiyashoten.co.jp</t>
  </si>
  <si>
    <t>A88-64</t>
  </si>
  <si>
    <t>埼玉県ふじみ野市</t>
  </si>
  <si>
    <t>0120-1234-5742</t>
  </si>
  <si>
    <t>K1835-207</t>
  </si>
  <si>
    <t>A88-64  474310</t>
  </si>
  <si>
    <t>031317</t>
  </si>
  <si>
    <t>未来屋書店 北浦和店</t>
  </si>
  <si>
    <t>1603　北浦和</t>
  </si>
  <si>
    <t>330-0061</t>
  </si>
  <si>
    <t>埼玉県さいたま市浦和区常盤10-20-29　イオン北浦和店3F</t>
  </si>
  <si>
    <t>048-826-7133</t>
  </si>
  <si>
    <t>TEL 048-826-7133</t>
  </si>
  <si>
    <t>048-826-7134</t>
  </si>
  <si>
    <t>ms1603@miraiyashoten.co.jp</t>
  </si>
  <si>
    <t>B33-71</t>
  </si>
  <si>
    <t>埼玉県さいたま市</t>
  </si>
  <si>
    <t>0120-1234-5743</t>
  </si>
  <si>
    <t>K1835-203</t>
  </si>
  <si>
    <t>B33-71  473320</t>
  </si>
  <si>
    <t>011521</t>
  </si>
  <si>
    <t>未来屋書店 レイクタウン店</t>
  </si>
  <si>
    <t>15616　レイクタウン</t>
  </si>
  <si>
    <t>343-0828</t>
  </si>
  <si>
    <t>埼玉県越谷市レイクタウン3丁目1番地1　イオンレイクタウンmori 3階</t>
  </si>
  <si>
    <t>048-988-7742</t>
  </si>
  <si>
    <t>TEL 048-988-7742</t>
  </si>
  <si>
    <t>048-988-7748</t>
  </si>
  <si>
    <t>ms15616@miraiyashoten.co.jp</t>
  </si>
  <si>
    <t>03-R-22</t>
  </si>
  <si>
    <t>埼玉県越谷市</t>
  </si>
  <si>
    <t>0120-1234-5744</t>
  </si>
  <si>
    <t>本社　0120-1234-5744</t>
  </si>
  <si>
    <t>03-R-22  38441</t>
  </si>
  <si>
    <t>041331</t>
  </si>
  <si>
    <t>44T21</t>
  </si>
  <si>
    <t>115215</t>
  </si>
  <si>
    <t>未来屋書店 川口店</t>
  </si>
  <si>
    <t>31790　川口</t>
  </si>
  <si>
    <t>333-0834</t>
  </si>
  <si>
    <t>埼玉県川口市安行領根岸3180 イオンモール川口3F</t>
  </si>
  <si>
    <t>048-287-9670</t>
  </si>
  <si>
    <t>TEL 048-287-9670</t>
  </si>
  <si>
    <t>048-287-9675</t>
  </si>
  <si>
    <t>ms31790@miraiyashoten.co.jp</t>
  </si>
  <si>
    <t>09-R-02</t>
  </si>
  <si>
    <t>埼玉県川口市</t>
  </si>
  <si>
    <t>0120-1234-5745</t>
  </si>
  <si>
    <t>本社　0120-1234-5745</t>
  </si>
  <si>
    <t>09-R-02  38433</t>
  </si>
  <si>
    <t>047145</t>
  </si>
  <si>
    <t>43T74</t>
  </si>
  <si>
    <t>115193</t>
  </si>
  <si>
    <t>新座</t>
  </si>
  <si>
    <t>未来屋書店 新座店</t>
  </si>
  <si>
    <t>8677　新座</t>
  </si>
  <si>
    <t>352-0001</t>
  </si>
  <si>
    <t>埼玉県新座市東北2丁目32-12 イオン新座店4F</t>
  </si>
  <si>
    <t>048-485-5031</t>
  </si>
  <si>
    <t>TEL 048-485-5031</t>
  </si>
  <si>
    <t>兼048-485-5031</t>
  </si>
  <si>
    <t>ms8677@miraiyashoten.co.jp</t>
  </si>
  <si>
    <t>06-R-43</t>
  </si>
  <si>
    <t>埼玉県新座市</t>
  </si>
  <si>
    <t>0120-1234-5746</t>
  </si>
  <si>
    <t>本社　0120-1234-5746</t>
  </si>
  <si>
    <t>06-R-43  31616</t>
  </si>
  <si>
    <t>044298</t>
  </si>
  <si>
    <t>43T65</t>
  </si>
  <si>
    <t>未来屋書店 与野店</t>
  </si>
  <si>
    <t>8929　与野</t>
  </si>
  <si>
    <t>338-0004</t>
  </si>
  <si>
    <t>埼玉県さいたま市中央区本町西5-2-9　イオンモール与野3F</t>
  </si>
  <si>
    <t>048-851-6070</t>
  </si>
  <si>
    <t>TEL 048-851-6070</t>
  </si>
  <si>
    <t>048-851-6071</t>
  </si>
  <si>
    <t>ms8929@miraiyashoten.co.jp</t>
  </si>
  <si>
    <t>B26-27</t>
  </si>
  <si>
    <t>0120-1234-5747</t>
  </si>
  <si>
    <t>K1835-53</t>
  </si>
  <si>
    <t>B26-27  477790</t>
  </si>
  <si>
    <t>038015</t>
  </si>
  <si>
    <t>未来屋書店 大宮店</t>
  </si>
  <si>
    <t>1641　大宮</t>
  </si>
  <si>
    <t>331-0825</t>
  </si>
  <si>
    <t>埼玉県さいたま市北区櫛引町2-574-1　イオン大宮店3F</t>
  </si>
  <si>
    <t>048-662-8300</t>
  </si>
  <si>
    <t>TEL 048-662-8300</t>
  </si>
  <si>
    <t>048-662-8301</t>
  </si>
  <si>
    <t>ms1641@miraiyashoten.co.jp</t>
  </si>
  <si>
    <t>B33-70</t>
  </si>
  <si>
    <t>0120-1234-5748</t>
  </si>
  <si>
    <t>K1835-212</t>
  </si>
  <si>
    <t>B33-70  473390</t>
  </si>
  <si>
    <t>033937</t>
  </si>
  <si>
    <t>大宮西H</t>
  </si>
  <si>
    <t>未来屋書店 大宮西H店</t>
  </si>
  <si>
    <t>32765　大宮西H</t>
  </si>
  <si>
    <t>331-0052</t>
  </si>
  <si>
    <t>埼玉県さいたま市西区三橋6-607-13　イオン大宮西店内書籍売場</t>
  </si>
  <si>
    <t>048-620-1511</t>
  </si>
  <si>
    <t>TEL 048-620-1511</t>
  </si>
  <si>
    <t>ms32765@miraiyashoten.co.jp</t>
  </si>
  <si>
    <t>0120-1234-5749</t>
  </si>
  <si>
    <t>046072</t>
  </si>
  <si>
    <t>B25-06</t>
  </si>
  <si>
    <t>未来屋書店 北戸田店</t>
  </si>
  <si>
    <t>8966　北戸田</t>
  </si>
  <si>
    <t>335-0032</t>
  </si>
  <si>
    <t>埼玉県戸田市美女木東1-3-1　イオンモール北戸田3F</t>
  </si>
  <si>
    <t>048-449-4080</t>
  </si>
  <si>
    <t>TEL 048-449-4080</t>
  </si>
  <si>
    <t>048-449-4084</t>
  </si>
  <si>
    <t>ms8966@miraiyashoten.co.jp</t>
  </si>
  <si>
    <t>B26-24</t>
  </si>
  <si>
    <t>埼玉県戸田市</t>
  </si>
  <si>
    <t>0120-1234-5750</t>
  </si>
  <si>
    <t>K1835-55</t>
  </si>
  <si>
    <t>B26-24  479060</t>
  </si>
  <si>
    <t>037959</t>
  </si>
  <si>
    <t>115142</t>
  </si>
  <si>
    <t>未来屋書店 春日部店</t>
  </si>
  <si>
    <t>9217　春日部</t>
  </si>
  <si>
    <t>344-0122</t>
  </si>
  <si>
    <t>埼玉県春日部市下柳420番1　イオンモール春日部3Ｆ</t>
  </si>
  <si>
    <t>048-718-3020</t>
  </si>
  <si>
    <t>TEL 048-718-3020</t>
  </si>
  <si>
    <t>048-718-3021</t>
  </si>
  <si>
    <t>ms9217@miraiyashoten.co.jp</t>
  </si>
  <si>
    <t>03-R-40</t>
  </si>
  <si>
    <t>埼玉県春日部市</t>
  </si>
  <si>
    <t>0120-1234-5751</t>
  </si>
  <si>
    <t>本社　0120-1234-5751</t>
  </si>
  <si>
    <t>03-R-40  38445</t>
  </si>
  <si>
    <t>044061</t>
  </si>
  <si>
    <t>44T15</t>
  </si>
  <si>
    <t>未来屋書店 せんげん台店</t>
  </si>
  <si>
    <t>1664　せんげん台</t>
  </si>
  <si>
    <t>343-0041</t>
  </si>
  <si>
    <t>埼玉県越谷市千間台西3-2-12　イオンせんげん台店3Ｆ</t>
  </si>
  <si>
    <t>048-973-5006</t>
  </si>
  <si>
    <t>TEL 048-973-5006</t>
  </si>
  <si>
    <t>048-973-5009</t>
  </si>
  <si>
    <t>ms1664@miraiyashoten.co.jp</t>
  </si>
  <si>
    <t>04-R-11</t>
  </si>
  <si>
    <t>0120-1234-5752</t>
  </si>
  <si>
    <t>本社　0120-1234-5752</t>
  </si>
  <si>
    <t>04-R-11  31615</t>
  </si>
  <si>
    <t>018314</t>
  </si>
  <si>
    <t>43T16</t>
  </si>
  <si>
    <t>未来屋書店 ノア店</t>
  </si>
  <si>
    <t>9304　ノア</t>
  </si>
  <si>
    <t>278-0031</t>
  </si>
  <si>
    <t>05千葉</t>
  </si>
  <si>
    <t>千葉県野田市中根36－1　イオンノア店3F</t>
  </si>
  <si>
    <t>04-7126-1283</t>
  </si>
  <si>
    <t>TEL 04-7126-1283</t>
  </si>
  <si>
    <t>04-7126-1284</t>
  </si>
  <si>
    <t>ms9304@miraiyashoten.co.jp</t>
  </si>
  <si>
    <t>B48-02</t>
  </si>
  <si>
    <t>千葉県野田市</t>
  </si>
  <si>
    <t>0120-1234-5753</t>
  </si>
  <si>
    <t>K1835-6</t>
  </si>
  <si>
    <t>B48-02  451580</t>
  </si>
  <si>
    <t>038811</t>
  </si>
  <si>
    <t>未来屋書店 羽生店</t>
  </si>
  <si>
    <t>9343　羽生</t>
  </si>
  <si>
    <t>348-0039</t>
  </si>
  <si>
    <t>埼玉県羽生市川崎2丁目281番地3　イオンモール羽生2Ｆ</t>
  </si>
  <si>
    <t>048-563-3063</t>
  </si>
  <si>
    <t>TEL 048-563-3063</t>
  </si>
  <si>
    <t>048-560-1008</t>
  </si>
  <si>
    <t>ms9343@miraiyashoten.co.jp</t>
  </si>
  <si>
    <t>A56-11</t>
  </si>
  <si>
    <t>埼玉県羽生市</t>
  </si>
  <si>
    <t>0120-1234-5754</t>
  </si>
  <si>
    <t>K1835-109</t>
  </si>
  <si>
    <t>A56-11  477550</t>
  </si>
  <si>
    <t>040299</t>
  </si>
  <si>
    <t>115150</t>
  </si>
  <si>
    <t>アシーネ 熊谷</t>
  </si>
  <si>
    <t xml:space="preserve"> アシーネ 熊谷店</t>
  </si>
  <si>
    <t>8578　アシーネ熊谷</t>
  </si>
  <si>
    <t>360-0815</t>
  </si>
  <si>
    <t>埼玉県熊谷市本石2-135 イオン熊谷店2階</t>
  </si>
  <si>
    <t>048-599-0066</t>
  </si>
  <si>
    <t>TEL 048-599-0066</t>
  </si>
  <si>
    <t>兼048-599-0066</t>
  </si>
  <si>
    <t>ms8578@miraiyashoten.co.jp</t>
  </si>
  <si>
    <t>06-R-58</t>
  </si>
  <si>
    <t>埼玉県熊谷市</t>
  </si>
  <si>
    <t>0120-1234-5755</t>
  </si>
  <si>
    <t>本社　0120-1234-5755</t>
  </si>
  <si>
    <t>06-R-58  38547</t>
  </si>
  <si>
    <t>044416</t>
  </si>
  <si>
    <t>44T16</t>
  </si>
  <si>
    <t>未来屋書店 入間店</t>
  </si>
  <si>
    <t>9387　入間</t>
  </si>
  <si>
    <t>358-0013</t>
  </si>
  <si>
    <t>埼玉県入間市大字上藤沢462-1　イオンスタイル入間ＳＣ2Ｆ</t>
  </si>
  <si>
    <t>04-2960-1185</t>
  </si>
  <si>
    <t>TEL 04-2960-1185</t>
  </si>
  <si>
    <t>04-2960-1186</t>
  </si>
  <si>
    <t>ms9387@miraiyashoten.co.jp</t>
  </si>
  <si>
    <t>03-R-37</t>
  </si>
  <si>
    <t>埼玉県入間市</t>
  </si>
  <si>
    <t>0120-1234-5756</t>
  </si>
  <si>
    <t>本社　0120-1234-5756</t>
  </si>
  <si>
    <t>03-R-37  38443</t>
  </si>
  <si>
    <t>036842</t>
  </si>
  <si>
    <t>44T14</t>
  </si>
  <si>
    <t>未来屋書店 狭山店</t>
  </si>
  <si>
    <t>8963　狭山</t>
  </si>
  <si>
    <t>350-1333</t>
  </si>
  <si>
    <t>埼玉県狭山市上奥富1126-1　イオン狭山店2Ｆ</t>
  </si>
  <si>
    <t>04-2969-5125</t>
  </si>
  <si>
    <t>TEL 04-2969-5125</t>
  </si>
  <si>
    <t>04-2969-5126</t>
  </si>
  <si>
    <t>ms8963@miraiyashoten.co.jp</t>
  </si>
  <si>
    <t>A15-07</t>
  </si>
  <si>
    <t>埼玉県狭山市</t>
  </si>
  <si>
    <t>0120-1234-5757</t>
  </si>
  <si>
    <t>K1835-228</t>
  </si>
  <si>
    <t>A15-07  475170</t>
  </si>
  <si>
    <t>040360</t>
  </si>
  <si>
    <t>コンセ鴨川</t>
  </si>
  <si>
    <t>未来屋書店 コンセ鴨川店</t>
  </si>
  <si>
    <t>783　コンセ鴨川</t>
  </si>
  <si>
    <t>296-0001</t>
  </si>
  <si>
    <t>千葉県鴨川市横渚973-1番地　イオン鴨川店3Ｆ</t>
  </si>
  <si>
    <t>04-7098-2581</t>
  </si>
  <si>
    <t>TEL 04-7098-2581</t>
  </si>
  <si>
    <t>04-7098-2582</t>
  </si>
  <si>
    <t>ms783@miraiyashoten.co.jp</t>
  </si>
  <si>
    <t>A41-92</t>
  </si>
  <si>
    <t>千葉県鴨川市</t>
  </si>
  <si>
    <t>0120-1234-5758</t>
  </si>
  <si>
    <t>A41-92  450920</t>
  </si>
  <si>
    <t>041428</t>
  </si>
  <si>
    <t>福原さん指摘により客注番線修正</t>
  </si>
  <si>
    <t>未来屋書店 木更津店</t>
  </si>
  <si>
    <t>5581　木更津</t>
  </si>
  <si>
    <t>292-0835</t>
  </si>
  <si>
    <t>千葉県木更津市築地1番4　イオンモール木更津2Ｆ</t>
  </si>
  <si>
    <t>0438-30-6207</t>
  </si>
  <si>
    <t>TEL 0438-30-6207</t>
  </si>
  <si>
    <t>0438-30-6208</t>
  </si>
  <si>
    <t>ms5581@miraiyashoten.co.jp</t>
  </si>
  <si>
    <t>A41-17</t>
  </si>
  <si>
    <t>千葉県木更津市</t>
  </si>
  <si>
    <t>0120-1234-5759</t>
  </si>
  <si>
    <t>K1835-275</t>
  </si>
  <si>
    <t>A41-17  455500</t>
  </si>
  <si>
    <t>044643</t>
  </si>
  <si>
    <t>未来屋書店 木更津朝日店</t>
  </si>
  <si>
    <t>8919　木更津朝日</t>
  </si>
  <si>
    <t>292-0055</t>
  </si>
  <si>
    <t>千葉県木更津市朝日3-10-19　イオンタウン木更津朝日店1Ｆ</t>
  </si>
  <si>
    <t>0438-20-3350</t>
  </si>
  <si>
    <t>TEL 0438-20-3350</t>
  </si>
  <si>
    <t>0438-20-3353</t>
  </si>
  <si>
    <t>ms8919@miraiyashoten.co.jp</t>
  </si>
  <si>
    <t>08-R-79</t>
  </si>
  <si>
    <t>0120-1234-5760</t>
  </si>
  <si>
    <t>本社　0120-1234-5760</t>
  </si>
  <si>
    <t>08-R-79  33821</t>
  </si>
  <si>
    <t>039866</t>
  </si>
  <si>
    <t>43T63</t>
  </si>
  <si>
    <t>未来屋書店 北小金店</t>
  </si>
  <si>
    <t>1631　北小金</t>
  </si>
  <si>
    <t>270-0014</t>
  </si>
  <si>
    <t>千葉県松戸市小金1番地　イオン北小金店5F</t>
  </si>
  <si>
    <t>047-374-6117</t>
  </si>
  <si>
    <t>TEL 047-374-6117</t>
  </si>
  <si>
    <t>047-374-6118</t>
  </si>
  <si>
    <t>ms1631@miraiyashoten.co.jp</t>
  </si>
  <si>
    <t>A41-4</t>
  </si>
  <si>
    <t>千葉県松戸市</t>
  </si>
  <si>
    <t>0120-1234-5761</t>
  </si>
  <si>
    <t>K1835-208</t>
  </si>
  <si>
    <t>A41-4  456480</t>
  </si>
  <si>
    <t>027004</t>
  </si>
  <si>
    <t>A41-04</t>
  </si>
  <si>
    <t>新松戸</t>
  </si>
  <si>
    <t>未来屋書店 新松戸店</t>
  </si>
  <si>
    <t>8443　新松戸</t>
  </si>
  <si>
    <t>270-0034</t>
  </si>
  <si>
    <t>千葉県松戸市新松戸3-2-2 イオンフードスタイル新松戸店3F</t>
  </si>
  <si>
    <t>047-346-6863</t>
  </si>
  <si>
    <t>TEL 047-346-6863</t>
  </si>
  <si>
    <t>兼047-346-6863</t>
  </si>
  <si>
    <t>ms8443@miraiyashoten.co.jp</t>
  </si>
  <si>
    <t>10-L-20</t>
  </si>
  <si>
    <t>0120-1234-5762</t>
  </si>
  <si>
    <t>本社　0120-1234-5762</t>
  </si>
  <si>
    <t>10-L-20  33409</t>
  </si>
  <si>
    <t>021305</t>
  </si>
  <si>
    <t>40T80</t>
  </si>
  <si>
    <t>未来屋書店 柏店</t>
  </si>
  <si>
    <t>8965　柏</t>
  </si>
  <si>
    <t>277-0854</t>
  </si>
  <si>
    <t>千葉県柏市豊町2丁目5番25号　イオンモール柏2Ｆ</t>
  </si>
  <si>
    <t>04-7141-0001</t>
  </si>
  <si>
    <t>TEL 04-7141-0001</t>
  </si>
  <si>
    <t>04-7141-0002</t>
  </si>
  <si>
    <t>ms8965@miraiyashoten.co.jp</t>
  </si>
  <si>
    <t>B46-48</t>
  </si>
  <si>
    <t>千葉県柏市</t>
  </si>
  <si>
    <t>0120-1234-5763</t>
  </si>
  <si>
    <t>K1835-120</t>
  </si>
  <si>
    <t>B46-48  458990</t>
  </si>
  <si>
    <t>039090</t>
  </si>
  <si>
    <t>B70-00</t>
  </si>
  <si>
    <t>124559</t>
  </si>
  <si>
    <t>小高さん指摘により客注番線修正</t>
  </si>
  <si>
    <t>未来屋書店 船橋店</t>
  </si>
  <si>
    <t>1649　船橋</t>
  </si>
  <si>
    <t>273-0045</t>
  </si>
  <si>
    <t>千葉県船橋市山手1-1-8　イオンモール船橋3Ｆ</t>
  </si>
  <si>
    <t>047-495-1120</t>
  </si>
  <si>
    <t>TEL 047-495-1120</t>
  </si>
  <si>
    <t>047-495-1121</t>
  </si>
  <si>
    <t>ms1649@miraiyashoten.co.jp</t>
  </si>
  <si>
    <t>B47-14</t>
  </si>
  <si>
    <t>千葉県船橋市</t>
  </si>
  <si>
    <t>0120-1234-5764</t>
  </si>
  <si>
    <t>K1835-232</t>
  </si>
  <si>
    <t>B47-14  453340</t>
  </si>
  <si>
    <t>043586</t>
  </si>
  <si>
    <t>124613</t>
  </si>
  <si>
    <t>未来屋書店 ボンベルタ成田店</t>
  </si>
  <si>
    <t>1650　ボンベルタ成田</t>
  </si>
  <si>
    <t>286-8521</t>
  </si>
  <si>
    <t>千葉県成田市赤坂2-1-10　ボンベルタ成田店5Ｆ</t>
  </si>
  <si>
    <t>0476-20-7077</t>
  </si>
  <si>
    <t>TEL 0476-20-7077</t>
  </si>
  <si>
    <t>0476-20-7078</t>
  </si>
  <si>
    <t>ms1650@miraiyashoten.co.jp</t>
  </si>
  <si>
    <t>02-R-29</t>
  </si>
  <si>
    <t>千葉県成田市</t>
  </si>
  <si>
    <t>0120-1234-5765</t>
  </si>
  <si>
    <t>本社　0120-1234-5765</t>
  </si>
  <si>
    <t>02-R-29  33820</t>
  </si>
  <si>
    <t>043806</t>
  </si>
  <si>
    <t>43T24</t>
  </si>
  <si>
    <t>未来屋書店 成田店</t>
  </si>
  <si>
    <t>2024　成田</t>
  </si>
  <si>
    <t>286-0029</t>
  </si>
  <si>
    <t>千葉県成田市ウイング土屋２４番地　イオンモール成田2F</t>
  </si>
  <si>
    <t>0476-23-8248</t>
  </si>
  <si>
    <t>TEL 0476-23-8248</t>
  </si>
  <si>
    <t>0476-23-8878</t>
  </si>
  <si>
    <t>ms2024@miraiyashoten.co.jp</t>
  </si>
  <si>
    <t>17-L-29</t>
  </si>
  <si>
    <t>0120-1234-5766</t>
  </si>
  <si>
    <t>本社　0120-1234-5766</t>
  </si>
  <si>
    <t>17-L-29  33819</t>
  </si>
  <si>
    <t>032520</t>
  </si>
  <si>
    <t>43T33</t>
  </si>
  <si>
    <t>124796</t>
  </si>
  <si>
    <t>未来屋書店 銚子店</t>
  </si>
  <si>
    <t>5754　銚子</t>
  </si>
  <si>
    <t>288-0815</t>
  </si>
  <si>
    <t>千葉県銚子市三崎町2丁目2660-1　イオンモール銚子2Ｆ</t>
  </si>
  <si>
    <t>0479-20-0601</t>
  </si>
  <si>
    <t>TEL 0479-20-0601</t>
  </si>
  <si>
    <t>0479-20-0602</t>
  </si>
  <si>
    <t>ms5754@miraiyashoten.co.jp</t>
  </si>
  <si>
    <t>03-R-60</t>
  </si>
  <si>
    <t>千葉県銚子市</t>
  </si>
  <si>
    <t>0120-1234-5767</t>
  </si>
  <si>
    <t>本社　0120-1234-5767</t>
  </si>
  <si>
    <t>03-R-60  39593</t>
  </si>
  <si>
    <t>042812</t>
  </si>
  <si>
    <t>44T18</t>
  </si>
  <si>
    <t>未来屋書店 西代店</t>
  </si>
  <si>
    <t>8989　西代</t>
  </si>
  <si>
    <t>300-0726</t>
  </si>
  <si>
    <t>茨城県稲敷市西代1495　SCパルナ2Ｆ</t>
  </si>
  <si>
    <t>0299-80-5820</t>
  </si>
  <si>
    <t>TEL 0299-80-5820</t>
  </si>
  <si>
    <t>0299-80-5821</t>
  </si>
  <si>
    <t>ms8989@miraiyashoten.co.jp</t>
  </si>
  <si>
    <t>A51-49</t>
  </si>
  <si>
    <t>茨城県稲敷市</t>
  </si>
  <si>
    <t>0120-1234-5768</t>
  </si>
  <si>
    <t>K1835-144</t>
  </si>
  <si>
    <t>A51-49  438110</t>
  </si>
  <si>
    <t>032214</t>
  </si>
  <si>
    <t>未来屋書店 幕張店</t>
  </si>
  <si>
    <t>5763　幕張</t>
  </si>
  <si>
    <t>261-0021</t>
  </si>
  <si>
    <t>千葉県千葉市美浜区ひび野1-3　イオン海浜幕張2Ｆ</t>
  </si>
  <si>
    <t>043-299-1125</t>
  </si>
  <si>
    <t>TEL 043-299-1125</t>
  </si>
  <si>
    <t>043-299-1134</t>
  </si>
  <si>
    <t>ms5763@miraiyashoten.co.jp</t>
  </si>
  <si>
    <t>06-R-40</t>
  </si>
  <si>
    <t>千葉県千葉市</t>
  </si>
  <si>
    <t>0120-1234-5769</t>
  </si>
  <si>
    <t>本社　0120-1234-5769</t>
  </si>
  <si>
    <t>06-R-40  39589</t>
  </si>
  <si>
    <t>040206</t>
  </si>
  <si>
    <t>44T17</t>
  </si>
  <si>
    <t>124591</t>
  </si>
  <si>
    <t>未来屋書店 幕張新都心店</t>
  </si>
  <si>
    <t>5777　幕張新都心</t>
  </si>
  <si>
    <t>261-8535</t>
  </si>
  <si>
    <t>千葉県千葉市美浜区豊砂1-5　イオンモール幕張新都心　ファミリーモール2F</t>
  </si>
  <si>
    <t>043-273-7350</t>
  </si>
  <si>
    <t>TEL 043-273-7350</t>
  </si>
  <si>
    <t>043-273-7351</t>
  </si>
  <si>
    <t>ms5777@miraiyashoten.co.jp</t>
  </si>
  <si>
    <t>06-R-39</t>
  </si>
  <si>
    <t>0120-1234-5770</t>
  </si>
  <si>
    <t>本社　0120-1234-5770</t>
  </si>
  <si>
    <t>06-R-39  39771</t>
  </si>
  <si>
    <t>044345</t>
  </si>
  <si>
    <t>44T40</t>
  </si>
  <si>
    <t>124621</t>
  </si>
  <si>
    <t>未来屋書店 鎌取店</t>
  </si>
  <si>
    <t>8988　鎌取</t>
  </si>
  <si>
    <t>266-0031</t>
  </si>
  <si>
    <t>千葉県千葉市緑区おゆみ野３丁目１６番地　イオン鎌取店4F</t>
  </si>
  <si>
    <t>043-291-8561</t>
  </si>
  <si>
    <t>TEL 043-291-8561</t>
  </si>
  <si>
    <t>043-291-9485</t>
  </si>
  <si>
    <t>ms8988@miraiyashoten.co.jp</t>
  </si>
  <si>
    <t>06-R-34</t>
  </si>
  <si>
    <t>0120-1234-5771</t>
  </si>
  <si>
    <t>本社　0120-1234-5771</t>
  </si>
  <si>
    <t>06-R-34  33816</t>
  </si>
  <si>
    <t>026907</t>
  </si>
  <si>
    <t>43T20</t>
  </si>
  <si>
    <t>124575</t>
  </si>
  <si>
    <t>アシーネ 千葉長沼</t>
  </si>
  <si>
    <t xml:space="preserve"> アシーネ 千葉長沼店</t>
  </si>
  <si>
    <t>8058　アシーネ千葉長沼</t>
  </si>
  <si>
    <t>263-0005</t>
  </si>
  <si>
    <t>千葉県千葉市稲毛区長沼町330-50 ワンズモール専門店3F</t>
  </si>
  <si>
    <t>043-215-3531</t>
  </si>
  <si>
    <t>TEL 043-215-3531</t>
  </si>
  <si>
    <t>兼043-215-3531</t>
  </si>
  <si>
    <t>ms8058@miraiyashoten.co.jp</t>
  </si>
  <si>
    <t>78-T-32</t>
  </si>
  <si>
    <t>0120-1234-5772</t>
  </si>
  <si>
    <t>本社　0120-1234-5772</t>
  </si>
  <si>
    <t>78-T-32  33985</t>
  </si>
  <si>
    <t>034044</t>
  </si>
  <si>
    <t>41T03</t>
  </si>
  <si>
    <t>未来屋書店 高根木戸店</t>
  </si>
  <si>
    <t>8957　高根木戸</t>
  </si>
  <si>
    <t>274-0063</t>
  </si>
  <si>
    <t>千葉県船橋市習志野台1-1-3 　イオン高根木戸店3F</t>
  </si>
  <si>
    <t>047-469-3136</t>
  </si>
  <si>
    <t>TEL 047-469-3136</t>
  </si>
  <si>
    <t>047-469-3183</t>
  </si>
  <si>
    <t>ms8957@miraiyashoten.co.jp</t>
  </si>
  <si>
    <t>B47-31</t>
  </si>
  <si>
    <t>0120-1234-5773</t>
  </si>
  <si>
    <t>K1835-262</t>
  </si>
  <si>
    <t>B47-31  452280</t>
  </si>
  <si>
    <t>030917</t>
  </si>
  <si>
    <t>A47-31</t>
  </si>
  <si>
    <t>未来屋書店 ユーカリが丘店</t>
  </si>
  <si>
    <t>8472　ユーカリが丘</t>
  </si>
  <si>
    <t>285-0850</t>
  </si>
  <si>
    <t>千葉県佐倉市西ユーカリが丘6丁目12番地3　イオンタウンユーカリが丘東街区1Ｆ</t>
  </si>
  <si>
    <t>043-487-6721</t>
  </si>
  <si>
    <t>TEL 043-487-6721</t>
  </si>
  <si>
    <t>043-487-6722</t>
  </si>
  <si>
    <t>ms8472@miraiyashoten.co.jp</t>
  </si>
  <si>
    <t>A87-31</t>
  </si>
  <si>
    <t>千葉県佐倉市</t>
  </si>
  <si>
    <t>0120-1234-5774</t>
  </si>
  <si>
    <t>K1835-290</t>
  </si>
  <si>
    <t>A87-31  459130</t>
  </si>
  <si>
    <t>045553</t>
  </si>
  <si>
    <t>未来屋書店 八千代緑が丘店</t>
  </si>
  <si>
    <t>8904　八千代緑が丘</t>
  </si>
  <si>
    <t>276-0049</t>
  </si>
  <si>
    <t>千葉県八千代市緑が丘2丁目1番3号　イオンモール八千代緑が丘３F</t>
  </si>
  <si>
    <t>047-480-0025</t>
  </si>
  <si>
    <t>TEL 047-480-0025</t>
  </si>
  <si>
    <t>047-480-0026</t>
  </si>
  <si>
    <t>ms8904@miraiyashoten.co.jp</t>
  </si>
  <si>
    <t>94-L-53</t>
  </si>
  <si>
    <t>千葉県八千代市</t>
  </si>
  <si>
    <t>0120-1234-5775</t>
  </si>
  <si>
    <t>本社　0120-1234-5775</t>
  </si>
  <si>
    <t>94-L-53  33818</t>
  </si>
  <si>
    <t>038213</t>
  </si>
  <si>
    <t>43T22</t>
  </si>
  <si>
    <t>124583</t>
  </si>
  <si>
    <t>新浦安</t>
  </si>
  <si>
    <t>未来屋書店 新浦安店</t>
  </si>
  <si>
    <t>31671　新浦安</t>
  </si>
  <si>
    <t>279-0012</t>
  </si>
  <si>
    <t>千葉県浦安市入船1-4-1 イオン新浦安店3F</t>
  </si>
  <si>
    <t>047-314-1496</t>
  </si>
  <si>
    <t>TEL 047-314-1496</t>
  </si>
  <si>
    <t>ms31671@miraiyashoten.co.jp</t>
  </si>
  <si>
    <t>B33-46</t>
  </si>
  <si>
    <t>千葉県浦安市</t>
  </si>
  <si>
    <t>0120-1234-5776</t>
  </si>
  <si>
    <t>K1835-311</t>
  </si>
  <si>
    <t>B33-46  453060</t>
  </si>
  <si>
    <t>019117</t>
  </si>
  <si>
    <t>124648</t>
  </si>
  <si>
    <t>未来屋書店 鎌ケ谷店</t>
  </si>
  <si>
    <t>8921　鎌ケ谷</t>
  </si>
  <si>
    <t>273-0107</t>
  </si>
  <si>
    <t>千葉県鎌ケ谷市新鎌ケ谷2-7-1　イオン鎌ヶ谷SC1F</t>
  </si>
  <si>
    <t>047-441-5711</t>
  </si>
  <si>
    <t>TEL 047-441-5711</t>
  </si>
  <si>
    <t>047-441-5712</t>
  </si>
  <si>
    <t>ms8921@miraiyashoten.co.jp</t>
  </si>
  <si>
    <t>03-R-72</t>
  </si>
  <si>
    <t>千葉県鎌ケ谷市</t>
  </si>
  <si>
    <t>0120-1234-5777</t>
  </si>
  <si>
    <t>本社　0120-1234-5777</t>
  </si>
  <si>
    <t>03-R-72  39605</t>
  </si>
  <si>
    <t>037446</t>
  </si>
  <si>
    <t>44T19</t>
  </si>
  <si>
    <t>未来屋書店 マリンピア店</t>
  </si>
  <si>
    <t>8979　マリンピア</t>
  </si>
  <si>
    <t>261-8513</t>
  </si>
  <si>
    <t>千葉県千葉市美浜区高洲3-13-1　イオンマリンピア店4F</t>
  </si>
  <si>
    <t>043-277-8779</t>
  </si>
  <si>
    <t>TEL 043-277-8779</t>
  </si>
  <si>
    <t>043-277-7952</t>
  </si>
  <si>
    <t>ms8979@miraiyashoten.co.jp</t>
  </si>
  <si>
    <t>B46-40</t>
  </si>
  <si>
    <t>0120-1234-5778</t>
  </si>
  <si>
    <t>K1835-123</t>
  </si>
  <si>
    <t>B46-40  454460</t>
  </si>
  <si>
    <t>018984</t>
  </si>
  <si>
    <t>124567</t>
  </si>
  <si>
    <t>2/21修正</t>
  </si>
  <si>
    <t>未来屋書店 津田沼店</t>
  </si>
  <si>
    <t>8922　津田沼</t>
  </si>
  <si>
    <t>275-0016</t>
  </si>
  <si>
    <t>千葉県習志野市津田沼1丁目23-1　イオンモール津田沼3Ｆ</t>
  </si>
  <si>
    <t>047-473-7191</t>
  </si>
  <si>
    <t>TEL 047-473-7191</t>
  </si>
  <si>
    <t>047-473-7192</t>
  </si>
  <si>
    <t>ms8922@miraiyashoten.co.jp</t>
  </si>
  <si>
    <t>04-R-24</t>
  </si>
  <si>
    <t>千葉県習志野市</t>
  </si>
  <si>
    <t>0120-1234-5779</t>
  </si>
  <si>
    <t>本社　0120-1234-5779</t>
  </si>
  <si>
    <t>04-R-24  33817</t>
  </si>
  <si>
    <t>037058</t>
  </si>
  <si>
    <t>43T04</t>
  </si>
  <si>
    <t>124605</t>
  </si>
  <si>
    <t>未来屋書店 市川妙典店</t>
  </si>
  <si>
    <t>728　市川妙典</t>
  </si>
  <si>
    <t>272-0111</t>
  </si>
  <si>
    <t>06東京・神奈川</t>
  </si>
  <si>
    <t>千葉県市川市妙典5丁目3番1号　イオン市川妙典店2F</t>
  </si>
  <si>
    <t>047-701-0351</t>
  </si>
  <si>
    <t>TEL 047-701-0351</t>
  </si>
  <si>
    <t>047-701-0352</t>
  </si>
  <si>
    <t>ms728@miraiyashoten.co.jp</t>
  </si>
  <si>
    <t>B33-77</t>
  </si>
  <si>
    <t>千葉県市川市</t>
  </si>
  <si>
    <t>0120-1234-5780</t>
  </si>
  <si>
    <t>K1835-195</t>
  </si>
  <si>
    <t>B33-77  458150</t>
  </si>
  <si>
    <t>031635</t>
  </si>
  <si>
    <t>未来屋書店 南砂店</t>
  </si>
  <si>
    <t>2021　南砂</t>
  </si>
  <si>
    <t>136-0076</t>
  </si>
  <si>
    <t>東京都江東区南砂6-7-15　イオン南砂店３Ｆ</t>
  </si>
  <si>
    <t>03-5677-3850</t>
  </si>
  <si>
    <t>TEL 03-5677-3850</t>
  </si>
  <si>
    <t>03-5677-5303</t>
  </si>
  <si>
    <t>ms2021@miraiyashoten.co.jp</t>
  </si>
  <si>
    <t>05-R-16</t>
  </si>
  <si>
    <t>東京都江東区</t>
  </si>
  <si>
    <t>0120-1234-5781</t>
  </si>
  <si>
    <t>本社　0120-1234-5781</t>
  </si>
  <si>
    <t>05-R-16  94672</t>
  </si>
  <si>
    <t>033859</t>
  </si>
  <si>
    <t>43T02</t>
  </si>
  <si>
    <t>571431</t>
  </si>
  <si>
    <t>未来屋書店 葛西店</t>
  </si>
  <si>
    <t>9307　葛西</t>
  </si>
  <si>
    <t>134-0088</t>
  </si>
  <si>
    <t>東京都江戸川区西葛西３-９-１９　イオン葛西店4Ｆ</t>
  </si>
  <si>
    <t>03-6663-7371</t>
  </si>
  <si>
    <t>TEL 03-6663-7371</t>
  </si>
  <si>
    <t>03-6663-7372</t>
  </si>
  <si>
    <t>ms9307@miraiyashoten.co.jp</t>
  </si>
  <si>
    <t>B38-08</t>
  </si>
  <si>
    <t>東京都江戸川区</t>
  </si>
  <si>
    <t>0120-1234-5782</t>
  </si>
  <si>
    <t>K1835-149</t>
  </si>
  <si>
    <t>B38-08  137070</t>
  </si>
  <si>
    <t>035631</t>
  </si>
  <si>
    <t>未来屋書店 板橋店</t>
  </si>
  <si>
    <t>1609　板橋</t>
  </si>
  <si>
    <t>175-0083</t>
  </si>
  <si>
    <t>東京都板橋区徳丸2丁目6-1　イオン板橋店4F</t>
  </si>
  <si>
    <t>03-5921-0222</t>
  </si>
  <si>
    <t>TEL 03-5921-0222</t>
  </si>
  <si>
    <t>03-5921-0223</t>
  </si>
  <si>
    <t>ms1609@miraiyashoten.co.jp</t>
  </si>
  <si>
    <t>B33-73</t>
  </si>
  <si>
    <t>東京都板橋区</t>
  </si>
  <si>
    <t>0120-1234-5783</t>
  </si>
  <si>
    <t>K1835-202</t>
  </si>
  <si>
    <t>B33-73  145190</t>
  </si>
  <si>
    <t>033023</t>
  </si>
  <si>
    <t>550540</t>
  </si>
  <si>
    <t>未来屋書店 天王町店</t>
  </si>
  <si>
    <t>31835　天王町</t>
  </si>
  <si>
    <t>240-0001</t>
  </si>
  <si>
    <t>神奈川県横浜市保土ヶ谷区川辺町3番5　イオン天王町ショッピングセンター2F</t>
  </si>
  <si>
    <t>045-744-5803</t>
  </si>
  <si>
    <t>TEL 045-744-5803</t>
  </si>
  <si>
    <t>ms31835@miraiyashoten.co.jp</t>
  </si>
  <si>
    <t>10-R-48</t>
  </si>
  <si>
    <t>神奈川県横浜市</t>
  </si>
  <si>
    <t>0120-1234-5893</t>
  </si>
  <si>
    <t>本社　0120-1234-5893</t>
  </si>
  <si>
    <t>10-R-48  50571</t>
  </si>
  <si>
    <t>047328</t>
  </si>
  <si>
    <t>43T38</t>
  </si>
  <si>
    <t>未来屋書店 秦野店</t>
  </si>
  <si>
    <t>1623　秦野</t>
  </si>
  <si>
    <t>257-0041</t>
  </si>
  <si>
    <t>神奈川県泰野市入船町12-1　イオン秦野店２Ｆ</t>
  </si>
  <si>
    <t>0463-73-8941</t>
  </si>
  <si>
    <t>TEL 0463-73-8941</t>
  </si>
  <si>
    <t>0463-73-8942</t>
  </si>
  <si>
    <t>ms1623@miraiyashoten.co.jp</t>
  </si>
  <si>
    <t>05-R-27</t>
  </si>
  <si>
    <t>神奈川県泰野市</t>
  </si>
  <si>
    <t>0120-1234-5784</t>
  </si>
  <si>
    <t>本社　0120-1234-5784</t>
  </si>
  <si>
    <t>05-R-27  49420</t>
  </si>
  <si>
    <t>035680</t>
  </si>
  <si>
    <t>44T25</t>
  </si>
  <si>
    <t>未来屋書店 海老名店</t>
  </si>
  <si>
    <t>1638　海老名</t>
  </si>
  <si>
    <t>243-0432</t>
  </si>
  <si>
    <t>神奈川県海老名市中央2-4-1　イオン海老名店3F</t>
  </si>
  <si>
    <t>046-292-2860</t>
  </si>
  <si>
    <t>TEL 046-292-2860</t>
  </si>
  <si>
    <t>046-292-2861</t>
  </si>
  <si>
    <t>ms1638@miraiyashoten.co.jp</t>
  </si>
  <si>
    <t>B16-22</t>
  </si>
  <si>
    <t>神奈川県海老名市</t>
  </si>
  <si>
    <t>0120-1234-5785</t>
  </si>
  <si>
    <t>K1835-225</t>
  </si>
  <si>
    <t>B16-22  516370</t>
  </si>
  <si>
    <t>006758</t>
  </si>
  <si>
    <t>2/26修正</t>
  </si>
  <si>
    <t>未来屋書店 大和鶴間店</t>
  </si>
  <si>
    <t>9305　大和鶴間</t>
  </si>
  <si>
    <t>242-0001</t>
  </si>
  <si>
    <t>神奈川県大和市下鶴間1－2－1　イオンモール大和3F</t>
  </si>
  <si>
    <t>046-200-3025</t>
  </si>
  <si>
    <t>TEL 046-200-3025</t>
  </si>
  <si>
    <t>046-200-3026</t>
  </si>
  <si>
    <t>ms9305@miraiyashoten.co.jp</t>
  </si>
  <si>
    <t>B53-02</t>
  </si>
  <si>
    <t>神奈川県大和市</t>
  </si>
  <si>
    <t>0120-1234-5786</t>
  </si>
  <si>
    <t>K1835-220</t>
  </si>
  <si>
    <t>B53-02  522370</t>
  </si>
  <si>
    <t>043265</t>
  </si>
  <si>
    <t>140627</t>
  </si>
  <si>
    <t>未来屋書店 茅ヶ崎中央店</t>
  </si>
  <si>
    <t>1954　茅ヶ崎中央</t>
  </si>
  <si>
    <t>253-0041</t>
  </si>
  <si>
    <t>神奈川県茅ヶ崎市茅ヶ崎3-5-16　イオン茅ヶ崎中央店３Ｆ</t>
  </si>
  <si>
    <t>0467-84-1146</t>
  </si>
  <si>
    <t>TEL 0467-84-1146</t>
  </si>
  <si>
    <t>兼0467-84-1146</t>
  </si>
  <si>
    <t>ms1954@miraiyashoten.co.jp</t>
  </si>
  <si>
    <t>B18-20</t>
  </si>
  <si>
    <t>神奈川県茅ヶ崎市</t>
  </si>
  <si>
    <t>0120-1234-5787</t>
  </si>
  <si>
    <t>K1835-266</t>
  </si>
  <si>
    <t>B18-20  512620</t>
  </si>
  <si>
    <t>033860</t>
  </si>
  <si>
    <t>未来屋書店 湘南茅ヶ崎店</t>
  </si>
  <si>
    <t>8416　湘南茅ヶ崎</t>
  </si>
  <si>
    <t>神奈川県茅ヶ崎市茅ヶ崎2-7-71 イオンスタイル湘南茅ヶ崎3F</t>
  </si>
  <si>
    <t>0467-84-1720</t>
  </si>
  <si>
    <t>TEL 0467-84-1720</t>
  </si>
  <si>
    <t>兼0467-84-1720</t>
  </si>
  <si>
    <t>ms8416@miraiyashoten.co.jp</t>
  </si>
  <si>
    <t>96-L-48</t>
  </si>
  <si>
    <t>0120-1234-5788</t>
  </si>
  <si>
    <t>本社　0120-1234-5788</t>
  </si>
  <si>
    <t>96-L-48  50417</t>
  </si>
  <si>
    <t>044516</t>
  </si>
  <si>
    <t>45T12</t>
  </si>
  <si>
    <t>未来屋書店 大和店</t>
  </si>
  <si>
    <t>1956　大和</t>
  </si>
  <si>
    <t>242-0023</t>
  </si>
  <si>
    <t>神奈川県大和市渋谷6丁目6番地1　イオン大和SC2F</t>
  </si>
  <si>
    <t>046-279-6906</t>
  </si>
  <si>
    <t>TEL 046-279-6906</t>
  </si>
  <si>
    <t>046-279-6907</t>
  </si>
  <si>
    <t>ms1956@miraiyashoten.co.jp</t>
  </si>
  <si>
    <t>05-R-45</t>
  </si>
  <si>
    <t>0120-1234-5789</t>
  </si>
  <si>
    <t>本社　0120-1234-5789</t>
  </si>
  <si>
    <t>05-R-45  50668</t>
  </si>
  <si>
    <t>043266</t>
  </si>
  <si>
    <t>43T30</t>
  </si>
  <si>
    <t>未来屋書店 本牧店</t>
  </si>
  <si>
    <t>9308　本牧</t>
  </si>
  <si>
    <t>231-0821</t>
  </si>
  <si>
    <t>神奈川県横浜市中区本牧原7-1　イオン本牧店4F</t>
  </si>
  <si>
    <t>045-628-6701</t>
  </si>
  <si>
    <t>TEL 045-628-6701</t>
  </si>
  <si>
    <t>045-628-6702</t>
  </si>
  <si>
    <t>ms9308@miraiyashoten.co.jp</t>
  </si>
  <si>
    <t>B34-76</t>
  </si>
  <si>
    <t>0120-1234-5790</t>
  </si>
  <si>
    <t>K1835-213</t>
  </si>
  <si>
    <t>B34-76  515470</t>
  </si>
  <si>
    <t>006821</t>
  </si>
  <si>
    <t>未来屋書店 多摩平の森店</t>
  </si>
  <si>
    <t>5583　多摩平の森</t>
  </si>
  <si>
    <t>191-0062</t>
  </si>
  <si>
    <t>東京都日野市多摩平2丁目4番1　イオンモール多摩平の森2Ｆ</t>
  </si>
  <si>
    <t>042-589-6331</t>
  </si>
  <si>
    <t>TEL 042-589-6331</t>
  </si>
  <si>
    <t>042-589-6332</t>
  </si>
  <si>
    <t>ms5583@miraiyashoten.co.jp</t>
  </si>
  <si>
    <t>B43-34</t>
  </si>
  <si>
    <t>東京都日野市</t>
  </si>
  <si>
    <t>0120-1234-5791</t>
  </si>
  <si>
    <t>K1835-276</t>
  </si>
  <si>
    <t>B43-34  169110</t>
  </si>
  <si>
    <t>044681</t>
  </si>
  <si>
    <t>571466</t>
  </si>
  <si>
    <t>アシーネ 金沢八景</t>
  </si>
  <si>
    <t xml:space="preserve"> アシーネ 金沢八景店</t>
  </si>
  <si>
    <t>8003　アシーネ金沢八景</t>
  </si>
  <si>
    <t>236-0021</t>
  </si>
  <si>
    <t>神奈川県横浜市金沢区泥亀1-27-1 イオン金沢八景店3F</t>
  </si>
  <si>
    <t>045-786-9942</t>
  </si>
  <si>
    <t>TEL 045-786-9942</t>
  </si>
  <si>
    <t>兼045-786-9942</t>
  </si>
  <si>
    <t>ms8003@miraiyashoten.co.jp</t>
  </si>
  <si>
    <t>03-R-09</t>
  </si>
  <si>
    <t>0120-1234-5792</t>
  </si>
  <si>
    <t>本社　0120-1234-5792</t>
  </si>
  <si>
    <t>03-R-09  50805</t>
  </si>
  <si>
    <t>024090</t>
  </si>
  <si>
    <t>44T26</t>
  </si>
  <si>
    <t>未来屋書店 相模原店</t>
  </si>
  <si>
    <t>9353　相模原</t>
  </si>
  <si>
    <t>252-0344</t>
  </si>
  <si>
    <t>神奈川県相模原市南区古淵2-10-1　イオン相模原店2Ｆ</t>
  </si>
  <si>
    <t>042-730-5401</t>
  </si>
  <si>
    <t>TEL 042-730-5401</t>
  </si>
  <si>
    <t>042-730-5402</t>
  </si>
  <si>
    <t>ms9353@miraiyashoten.co.jp</t>
  </si>
  <si>
    <t>E58-28</t>
  </si>
  <si>
    <t>神奈川県相模原市</t>
  </si>
  <si>
    <t>0120-1234-5793</t>
  </si>
  <si>
    <t>K1835-56</t>
  </si>
  <si>
    <t>E58-28  511280</t>
  </si>
  <si>
    <t>037795</t>
  </si>
  <si>
    <t>140708</t>
  </si>
  <si>
    <t>未来屋書店 甲府昭和店</t>
  </si>
  <si>
    <t>8962　甲府昭和</t>
  </si>
  <si>
    <t>409-3852</t>
  </si>
  <si>
    <t>山梨県中巨摩郡昭和町飯喰1505-1　イオンモール甲府昭和3F</t>
  </si>
  <si>
    <t>055-269-5311</t>
  </si>
  <si>
    <t>TEL 055-269-5311</t>
  </si>
  <si>
    <t>055-269-5399</t>
  </si>
  <si>
    <t>ms8962@miraiyashoten.co.jp</t>
  </si>
  <si>
    <t>A08-07</t>
  </si>
  <si>
    <t>山梨県中巨摩郡</t>
  </si>
  <si>
    <t>0120-1234-5794</t>
  </si>
  <si>
    <t>K1835-185</t>
  </si>
  <si>
    <t>A08-07  617780</t>
  </si>
  <si>
    <t>043205</t>
  </si>
  <si>
    <t>190551</t>
  </si>
  <si>
    <t>未来屋書店 東久留米店</t>
  </si>
  <si>
    <t>9259　東久留米</t>
  </si>
  <si>
    <t>203-0023</t>
  </si>
  <si>
    <t>東京都東久留米市南沢5丁目17番62号　イオンモール東久留米2Ｆ</t>
  </si>
  <si>
    <t>042-451-5885</t>
  </si>
  <si>
    <t>TEL 042-451-5885</t>
  </si>
  <si>
    <t>042-451-5886</t>
  </si>
  <si>
    <t>ms9259@miraiyashoten.co.jp</t>
  </si>
  <si>
    <t>10-R-52</t>
  </si>
  <si>
    <t>東京都東久留米市</t>
  </si>
  <si>
    <t>0120-1234-5795</t>
  </si>
  <si>
    <t>本社　0120-1234-5795</t>
  </si>
  <si>
    <t>10-R-52  96578</t>
  </si>
  <si>
    <t>044103</t>
  </si>
  <si>
    <t>44T43</t>
  </si>
  <si>
    <t>571458</t>
  </si>
  <si>
    <t>品川シーサイド</t>
  </si>
  <si>
    <t>未来屋書店 品川シーサイド店</t>
  </si>
  <si>
    <t>9359　品川シーサイド</t>
  </si>
  <si>
    <t>140-0002</t>
  </si>
  <si>
    <t>東京都品川区東品川4-12-5　イオン品川ｼｰｻｲﾄﾞSC３Ｆ</t>
  </si>
  <si>
    <t>03-5783-9737</t>
  </si>
  <si>
    <t>TEL 03-5783-9737</t>
  </si>
  <si>
    <t>03-5783-9738</t>
  </si>
  <si>
    <t>ms9359@miraiyashoten.co.jp</t>
  </si>
  <si>
    <t>09-R-58</t>
  </si>
  <si>
    <t>東京都品川区</t>
  </si>
  <si>
    <t>0120-1234-5796</t>
  </si>
  <si>
    <t>本社　0120-1234-5796</t>
  </si>
  <si>
    <t>09-R-58  90801</t>
  </si>
  <si>
    <t>036256</t>
  </si>
  <si>
    <t>43T69</t>
  </si>
  <si>
    <t>未来屋書店 日の出店</t>
  </si>
  <si>
    <t>31701　日の出</t>
  </si>
  <si>
    <t>190-0182</t>
  </si>
  <si>
    <t>東京都西多摩郡日の出町大字平井237番地3　イオンモール日の出2Ｆ</t>
  </si>
  <si>
    <t>042-597-6255</t>
  </si>
  <si>
    <t>TEL 042-597-6255</t>
  </si>
  <si>
    <t>042-588-8655</t>
  </si>
  <si>
    <t>ms31701@miraiyashoten.co.jp</t>
  </si>
  <si>
    <t>01-R-59</t>
  </si>
  <si>
    <t>東京都西多摩郡</t>
  </si>
  <si>
    <t>0120-1234-5797</t>
  </si>
  <si>
    <t>本社　0120-1234-5797</t>
  </si>
  <si>
    <t>01-R-59  96746</t>
  </si>
  <si>
    <t>040324</t>
  </si>
  <si>
    <t>43T71</t>
  </si>
  <si>
    <t>571415</t>
  </si>
  <si>
    <t>未来屋書店 碑文谷店</t>
  </si>
  <si>
    <t>12635　碑文谷</t>
  </si>
  <si>
    <t>152-0003</t>
  </si>
  <si>
    <t>東京都目黒区碑文谷4－1－1イオンスタイル碑文谷5Ｆ</t>
  </si>
  <si>
    <t>03-5725-2701</t>
  </si>
  <si>
    <t>TEL 03-5725-2701</t>
  </si>
  <si>
    <t>03-5725-2702</t>
  </si>
  <si>
    <t>ms12635@miraiyashoten.co.jp</t>
  </si>
  <si>
    <t>B37-15</t>
  </si>
  <si>
    <t>東京都目黒区</t>
  </si>
  <si>
    <t>0120-1234-5798</t>
  </si>
  <si>
    <t>K1835-299</t>
  </si>
  <si>
    <t>B37-15  127100</t>
  </si>
  <si>
    <t>045882</t>
  </si>
  <si>
    <t>537888</t>
  </si>
  <si>
    <t>未来屋書店 豊川店</t>
  </si>
  <si>
    <t>598　豊川</t>
  </si>
  <si>
    <t>442-0048</t>
  </si>
  <si>
    <t>07中日本第一</t>
  </si>
  <si>
    <t>愛知県豊川市開運通2-31　イオン豊川店2F</t>
  </si>
  <si>
    <t>0533-80-7451</t>
  </si>
  <si>
    <t>TEL 0533-80-7451</t>
  </si>
  <si>
    <t>0533-80-7452</t>
  </si>
  <si>
    <t>ms598@miraiyashoten.co.jp</t>
  </si>
  <si>
    <t>06-R-01</t>
  </si>
  <si>
    <t>愛知県豊川市</t>
  </si>
  <si>
    <t>0120-1234-5799</t>
  </si>
  <si>
    <t>本社　0120-1234-5799</t>
  </si>
  <si>
    <t>06-R-01  53097</t>
  </si>
  <si>
    <t>031318</t>
  </si>
  <si>
    <t>43T19</t>
  </si>
  <si>
    <t>未来屋書店 豊橋南店</t>
  </si>
  <si>
    <t>8924　豊橋南</t>
  </si>
  <si>
    <t>441-8124</t>
  </si>
  <si>
    <t>愛知県豊橋市野依町字落合1-12　イオン豊橋南SC2F</t>
  </si>
  <si>
    <t>0532-29-3227</t>
  </si>
  <si>
    <t>TEL 0532-29-3227</t>
  </si>
  <si>
    <t>0532-29-3260</t>
  </si>
  <si>
    <t>ms8924@miraiyashoten.co.jp</t>
  </si>
  <si>
    <t>D32-30</t>
  </si>
  <si>
    <t>愛知県豊橋市</t>
  </si>
  <si>
    <t>0120-1234-5800</t>
  </si>
  <si>
    <t>K1835-267</t>
  </si>
  <si>
    <t>D32-30  562430</t>
  </si>
  <si>
    <t>030314</t>
  </si>
  <si>
    <t>日販マクス</t>
  </si>
  <si>
    <t>熱海</t>
  </si>
  <si>
    <t>未来屋書店 熱海店</t>
  </si>
  <si>
    <t>786　熱海</t>
  </si>
  <si>
    <t>413-0015</t>
  </si>
  <si>
    <t>静岡県熱海市中央町19-39 マックスバリュ熱海店3F</t>
  </si>
  <si>
    <t>0557-86-5550</t>
  </si>
  <si>
    <t>TEL 0557-86-5550</t>
  </si>
  <si>
    <t>兼0557-86-5550</t>
  </si>
  <si>
    <t>ms786@miraiyashoten.co.jp</t>
  </si>
  <si>
    <t>06-R-21</t>
  </si>
  <si>
    <t>静岡県熱海市</t>
  </si>
  <si>
    <t>0120-1234-5801</t>
  </si>
  <si>
    <t>本社　0120-1234-5801</t>
  </si>
  <si>
    <t>06-R-21  59188</t>
  </si>
  <si>
    <t>044781</t>
  </si>
  <si>
    <t>43T27</t>
  </si>
  <si>
    <t>アシーネ 裾野</t>
  </si>
  <si>
    <t xml:space="preserve"> アシーネ 裾野店</t>
  </si>
  <si>
    <t>8684　アシーネ裾野</t>
  </si>
  <si>
    <t>410-1118</t>
  </si>
  <si>
    <t>静岡県裾野市佐野1039 マックスバリュベルシティ裾野店1F</t>
  </si>
  <si>
    <t>055-995-1511</t>
  </si>
  <si>
    <t>TEL 055-995-1511</t>
  </si>
  <si>
    <t>兼055-995-1511</t>
  </si>
  <si>
    <t>ms8684@miraiyashoten.co.jp</t>
  </si>
  <si>
    <t>06-R-26</t>
  </si>
  <si>
    <t>静岡県裾野市</t>
  </si>
  <si>
    <t>0120-1234-5802</t>
  </si>
  <si>
    <t>本社　0120-1234-5802</t>
  </si>
  <si>
    <t>06-R-26  59206</t>
  </si>
  <si>
    <t>044277</t>
  </si>
  <si>
    <t>43T47</t>
  </si>
  <si>
    <t>未来屋書店 三好店</t>
  </si>
  <si>
    <t>1957　三好</t>
  </si>
  <si>
    <t>470-0224</t>
  </si>
  <si>
    <t>愛知県みよし市三好町青木８８番地　アイ・モール２Ｆ</t>
  </si>
  <si>
    <t>0561-33-3164</t>
  </si>
  <si>
    <t>TEL 0561-33-3164</t>
  </si>
  <si>
    <t>0561-33-2606</t>
  </si>
  <si>
    <t>ms1957@miraiyashoten.co.jp</t>
  </si>
  <si>
    <t>06-R-56</t>
  </si>
  <si>
    <t>愛知県みよし市</t>
  </si>
  <si>
    <t>0120-1234-5803</t>
  </si>
  <si>
    <t>本社　0120-1234-5803</t>
  </si>
  <si>
    <t>06-R-56  53451</t>
  </si>
  <si>
    <t>033862</t>
  </si>
  <si>
    <t>43T55</t>
  </si>
  <si>
    <t>231312</t>
  </si>
  <si>
    <t>未来屋書店 長久手店</t>
  </si>
  <si>
    <t>12244　長久手</t>
  </si>
  <si>
    <t>480-1128</t>
  </si>
  <si>
    <t>愛知県長久手市勝入塚５０１番地 イオンモール長久手4Ｆ</t>
  </si>
  <si>
    <t>0561-64-5722</t>
  </si>
  <si>
    <t>TEL 0561-64-5722</t>
  </si>
  <si>
    <t>0561-64-5723</t>
  </si>
  <si>
    <t>ms12244@miraiyashoten.co.jp</t>
  </si>
  <si>
    <t>B56-18</t>
  </si>
  <si>
    <t>愛知県長久手市</t>
  </si>
  <si>
    <t>0120-1234-5804</t>
  </si>
  <si>
    <t>K1835-296</t>
  </si>
  <si>
    <t>B56-18  564920</t>
  </si>
  <si>
    <t>045713</t>
  </si>
  <si>
    <t>未来屋書店 守山店</t>
  </si>
  <si>
    <t>2498　守山</t>
  </si>
  <si>
    <t>463-0812</t>
  </si>
  <si>
    <t>愛知県名古屋市守山区笹ｹ根3丁目1228番地　イオン守山店２Ｆ</t>
  </si>
  <si>
    <t>052-739-0109</t>
  </si>
  <si>
    <t>TEL 052-739-0109</t>
  </si>
  <si>
    <t>052-739-1955</t>
  </si>
  <si>
    <t>ms2498@miraiyashoten.co.jp</t>
  </si>
  <si>
    <t>E15-27</t>
  </si>
  <si>
    <t>愛知県名古屋市</t>
  </si>
  <si>
    <t>0120-1234-5805</t>
  </si>
  <si>
    <t>K1835-63</t>
  </si>
  <si>
    <t>E15-27  551360</t>
  </si>
  <si>
    <t>032465</t>
  </si>
  <si>
    <t>未来屋書店 小牧店</t>
  </si>
  <si>
    <t>8981　小牧</t>
  </si>
  <si>
    <t>485-0831</t>
  </si>
  <si>
    <t>愛知県小牧市東一丁目126　イオン小牧店3F</t>
  </si>
  <si>
    <t>0568-74-2250</t>
  </si>
  <si>
    <t>TEL 0568-74-2250</t>
  </si>
  <si>
    <t>0568-74-2594</t>
  </si>
  <si>
    <t>ms8981@miraiyashoten.co.jp</t>
  </si>
  <si>
    <t>02-R-26</t>
  </si>
  <si>
    <t>愛知県小牧市</t>
  </si>
  <si>
    <t>0120-1234-5806</t>
  </si>
  <si>
    <t>本社　0120-1234-5806</t>
  </si>
  <si>
    <t>02-R-26  53867</t>
  </si>
  <si>
    <t>030677</t>
  </si>
  <si>
    <t>43T57</t>
  </si>
  <si>
    <t>未来屋書店 浜松市野店</t>
  </si>
  <si>
    <t>31813　浜松市野</t>
  </si>
  <si>
    <t>435-0052</t>
  </si>
  <si>
    <t>静岡県浜松市東区天王町字諏訪1981-3　イオンモール浜松市野2F</t>
  </si>
  <si>
    <t>053-467-1330</t>
  </si>
  <si>
    <t>TEL 053-467-1330</t>
  </si>
  <si>
    <t>053-411-3640</t>
  </si>
  <si>
    <t>ms31813@miraiyashoten.co.jp</t>
  </si>
  <si>
    <t>A62-22</t>
  </si>
  <si>
    <t>静岡県浜松市</t>
  </si>
  <si>
    <t>0120-1234-5807</t>
  </si>
  <si>
    <t>K1835-154</t>
  </si>
  <si>
    <t>A62-22  534170</t>
  </si>
  <si>
    <t>038407</t>
  </si>
  <si>
    <t>220520</t>
  </si>
  <si>
    <t>未来屋書店 東浦店</t>
  </si>
  <si>
    <t>3495　東浦</t>
  </si>
  <si>
    <t>470-2102</t>
  </si>
  <si>
    <t>愛知県知多郡東浦町大字緒川字旭13-2　イオンモール東浦　本館2F</t>
  </si>
  <si>
    <t>0562-85-9692</t>
  </si>
  <si>
    <t>TEL 0562-85-9692</t>
  </si>
  <si>
    <t>0562-85-9693</t>
  </si>
  <si>
    <t>ms3495@miraiyashoten.co.jp</t>
  </si>
  <si>
    <t>01-R-60</t>
  </si>
  <si>
    <t>愛知県知多郡</t>
  </si>
  <si>
    <t>0120-1234-5808</t>
  </si>
  <si>
    <t>本社　0120-1234-5808</t>
  </si>
  <si>
    <t>01-R-60  53463</t>
  </si>
  <si>
    <t>046681</t>
  </si>
  <si>
    <t>40T36</t>
  </si>
  <si>
    <t>236861</t>
  </si>
  <si>
    <t>名古屋東</t>
  </si>
  <si>
    <t>未来屋書店 名古屋東店</t>
  </si>
  <si>
    <t>8376　名古屋東</t>
  </si>
  <si>
    <t>465-0008</t>
  </si>
  <si>
    <t>愛知県名古屋市名東区猪子石原2-1701 イオン名古屋東店2F</t>
  </si>
  <si>
    <t>052-778-2383</t>
  </si>
  <si>
    <t>TEL 052-778-2383</t>
  </si>
  <si>
    <t>兼052-778-2383</t>
  </si>
  <si>
    <t>ms8376@miraiyashoten.co.jp</t>
  </si>
  <si>
    <t>04-R-19</t>
  </si>
  <si>
    <t>0120-1234-5809</t>
  </si>
  <si>
    <t>本社　0120-1234-5809</t>
  </si>
  <si>
    <t>04-R-19  54307</t>
  </si>
  <si>
    <t>031835</t>
  </si>
  <si>
    <t>43T25</t>
  </si>
  <si>
    <t>メイトピア</t>
  </si>
  <si>
    <t>未来屋書店 メイトピア店</t>
  </si>
  <si>
    <t>8505　メイトピア</t>
  </si>
  <si>
    <t>465-0081</t>
  </si>
  <si>
    <t>愛知県名古屋市名東区高間町501-1 イオンメイトピア店2F</t>
  </si>
  <si>
    <t>052-704-1909</t>
  </si>
  <si>
    <t>TEL 052-704-1909</t>
  </si>
  <si>
    <t>兼052-704-1909</t>
  </si>
  <si>
    <t>ms8505@miraiyashoten.co.jp</t>
  </si>
  <si>
    <t>E15-21</t>
  </si>
  <si>
    <t>0120-1234-5810</t>
  </si>
  <si>
    <t>K1835-315</t>
  </si>
  <si>
    <t>E15-21  557610</t>
  </si>
  <si>
    <t>023941</t>
  </si>
  <si>
    <t>未来屋書店 常滑店</t>
  </si>
  <si>
    <t>8865　常滑</t>
  </si>
  <si>
    <t>479-0882</t>
  </si>
  <si>
    <t>愛知県常滑市りんくう町２丁目２０番３　イオンモール常滑2F</t>
  </si>
  <si>
    <t>0569-36-3248</t>
  </si>
  <si>
    <t>TEL 0569-36-3248</t>
  </si>
  <si>
    <t>0569-36-2679</t>
  </si>
  <si>
    <t>ms8865@miraiyashoten.co.jp</t>
  </si>
  <si>
    <t>D35-38</t>
  </si>
  <si>
    <t>愛知県常滑市</t>
  </si>
  <si>
    <t>0120-1234-5811</t>
  </si>
  <si>
    <t>K1835-286</t>
  </si>
  <si>
    <t>D35-38  564510</t>
  </si>
  <si>
    <t>045336</t>
  </si>
  <si>
    <t>未来屋書店 大高店</t>
  </si>
  <si>
    <t>9365　大高</t>
  </si>
  <si>
    <t>459-8016</t>
  </si>
  <si>
    <t>愛知県名古屋市緑区南大高2丁目450番地　イオンモール大高3Ｆ</t>
  </si>
  <si>
    <t>052-624-4061</t>
  </si>
  <si>
    <t>TEL 052-624-4061</t>
  </si>
  <si>
    <t>052-626-1071</t>
  </si>
  <si>
    <t>ms9365@miraiyashoten.co.jp</t>
  </si>
  <si>
    <t>12-L-57</t>
  </si>
  <si>
    <t>0120-1234-5812</t>
  </si>
  <si>
    <t>本社　0120-1234-5812</t>
  </si>
  <si>
    <t>12-L-57  54796</t>
  </si>
  <si>
    <t>040679</t>
  </si>
  <si>
    <t>43T21</t>
  </si>
  <si>
    <t>239365</t>
  </si>
  <si>
    <t>未来屋書店 焼津店</t>
  </si>
  <si>
    <t>9302　焼津</t>
  </si>
  <si>
    <t>425-0045</t>
  </si>
  <si>
    <t>静岡県焼津市祢宜島555　イオン焼津SC２F</t>
  </si>
  <si>
    <t>054-656-0943</t>
  </si>
  <si>
    <t>TEL 054-656-0943</t>
  </si>
  <si>
    <t>054-656-0944</t>
  </si>
  <si>
    <t>ms9302@miraiyashoten.co.jp</t>
  </si>
  <si>
    <t>A30-20</t>
  </si>
  <si>
    <t>静岡県焼津市</t>
  </si>
  <si>
    <t>0120-1234-5813</t>
  </si>
  <si>
    <t>K1835-60</t>
  </si>
  <si>
    <t>A30-20  536540</t>
  </si>
  <si>
    <t>036374</t>
  </si>
  <si>
    <t>未来屋書店 富士南店</t>
  </si>
  <si>
    <t>9344　富士南</t>
  </si>
  <si>
    <t>416-0934</t>
  </si>
  <si>
    <t>静岡県富士市鮫島118-10　イオンタウン富士南2Ｆ</t>
  </si>
  <si>
    <t>0545-66-2028</t>
  </si>
  <si>
    <t>TEL 0545-66-2028</t>
  </si>
  <si>
    <t>0545-66-2031</t>
  </si>
  <si>
    <t>ms9344@miraiyashoten.co.jp</t>
  </si>
  <si>
    <t>06-R-49</t>
  </si>
  <si>
    <t>静岡県富士市</t>
  </si>
  <si>
    <t>0120-1234-5814</t>
  </si>
  <si>
    <t>本社　0120-1234-5814</t>
  </si>
  <si>
    <t>06-R-49  59192</t>
  </si>
  <si>
    <t>040422</t>
  </si>
  <si>
    <t>43T42</t>
  </si>
  <si>
    <t>未来屋書店 清水店</t>
  </si>
  <si>
    <t>9349　清水</t>
  </si>
  <si>
    <t>424-0871</t>
  </si>
  <si>
    <t>静岡県静岡市清水区上原1-6-16 　イオン清水店2F</t>
  </si>
  <si>
    <t>054-344-2640</t>
  </si>
  <si>
    <t>TEL 054-344-2640</t>
  </si>
  <si>
    <t>054-344-2221</t>
  </si>
  <si>
    <t>ms9349@miraiyashoten.co.jp</t>
  </si>
  <si>
    <t>08-R-46</t>
  </si>
  <si>
    <t>静岡県静岡市</t>
  </si>
  <si>
    <t>0120-1234-5815</t>
  </si>
  <si>
    <t>本社　0120-1234-5815</t>
  </si>
  <si>
    <t>08-R-46  59196</t>
  </si>
  <si>
    <t>031768</t>
  </si>
  <si>
    <t>43T15</t>
  </si>
  <si>
    <t>未来屋書店 袋井店</t>
  </si>
  <si>
    <t>9329　袋井</t>
  </si>
  <si>
    <t>437-0125</t>
  </si>
  <si>
    <t>静岡県袋井市上山梨4丁目1番地－1　イオン袋井店2F</t>
  </si>
  <si>
    <t>0538-30-1526</t>
  </si>
  <si>
    <t>TEL 0538-30-1526</t>
  </si>
  <si>
    <t>0538-30-1245</t>
  </si>
  <si>
    <t>ms9329@miraiyashoten.co.jp</t>
  </si>
  <si>
    <t>A63-08</t>
  </si>
  <si>
    <t>静岡県袋井市</t>
  </si>
  <si>
    <t>0120-1234-5816</t>
  </si>
  <si>
    <t>K1835-58</t>
  </si>
  <si>
    <t>A63-08  533990</t>
  </si>
  <si>
    <t>031351</t>
  </si>
  <si>
    <t>未来屋書店 岡崎店</t>
  </si>
  <si>
    <t>72741　岡崎</t>
  </si>
  <si>
    <t>444-0840</t>
  </si>
  <si>
    <t>愛知県岡崎市戸崎町字外山38-5　　イオンモール岡崎東棟3Ｆ</t>
  </si>
  <si>
    <t>0564-72-6282</t>
  </si>
  <si>
    <t>TEL 0564-72-6282</t>
  </si>
  <si>
    <t>0564-72-6283</t>
  </si>
  <si>
    <t>ms72741@miraiyashoten.co.jp</t>
  </si>
  <si>
    <t>05-R-03</t>
  </si>
  <si>
    <t>愛知県岡崎市</t>
  </si>
  <si>
    <t>0120-1234-5817</t>
  </si>
  <si>
    <t>本社　0120-1234-5817</t>
  </si>
  <si>
    <t>05-R-03  53187</t>
  </si>
  <si>
    <t>028495</t>
  </si>
  <si>
    <t>43T73</t>
  </si>
  <si>
    <t>236810</t>
  </si>
  <si>
    <t>未来屋書店 津南店</t>
  </si>
  <si>
    <t>1627　津南</t>
  </si>
  <si>
    <t>514-0817</t>
  </si>
  <si>
    <t>08中日本第二</t>
  </si>
  <si>
    <t>三重県津市高茶屋小森町145　イオンモール津南2F</t>
  </si>
  <si>
    <t>059-253-2700</t>
  </si>
  <si>
    <t>TEL 059-253-2700</t>
  </si>
  <si>
    <t>059-253-2730</t>
  </si>
  <si>
    <t>ms1627@miraiyashoten.co.jp</t>
  </si>
  <si>
    <t>Ｄ53-21</t>
  </si>
  <si>
    <t>三重県津市</t>
  </si>
  <si>
    <t>0120-1234-5818</t>
  </si>
  <si>
    <t>K1835-318</t>
  </si>
  <si>
    <t>Ｄ53-21  721360</t>
  </si>
  <si>
    <t>046535</t>
  </si>
  <si>
    <t>D53-21</t>
  </si>
  <si>
    <t>241402</t>
  </si>
  <si>
    <t>未来屋書店 熱田店</t>
  </si>
  <si>
    <t>31834　熱田</t>
  </si>
  <si>
    <t>456-8763</t>
  </si>
  <si>
    <t>愛知県名古屋市熱田区六野1-2-11　イオンモール熱田3Ｆ</t>
  </si>
  <si>
    <t>052-884-2186</t>
  </si>
  <si>
    <t>TEL 052-884-2186</t>
  </si>
  <si>
    <t>052-884-2187</t>
  </si>
  <si>
    <t>ms31834@miraiyashoten.co.jp</t>
  </si>
  <si>
    <t>09-R-03</t>
  </si>
  <si>
    <t>0120-1234-5819</t>
  </si>
  <si>
    <t>本社　0120-1234-5819</t>
  </si>
  <si>
    <t>09-R-03  54715</t>
  </si>
  <si>
    <t>044229</t>
  </si>
  <si>
    <t>43T76</t>
  </si>
  <si>
    <t>きんぶんアマノ</t>
  </si>
  <si>
    <t>未来屋書店 四日市北店</t>
  </si>
  <si>
    <t>1955　四日市北</t>
  </si>
  <si>
    <t>510-8016</t>
  </si>
  <si>
    <t>三重県四日市市富州原町２番４０号　　イオンモール四日市北２F</t>
  </si>
  <si>
    <t>059-361-6071</t>
  </si>
  <si>
    <t>TEL 059-361-6071</t>
  </si>
  <si>
    <t>059-361-6235</t>
  </si>
  <si>
    <t>ms1955@miraiyashoten.co.jp</t>
  </si>
  <si>
    <t>06-R-27</t>
  </si>
  <si>
    <t>三重県四日市</t>
  </si>
  <si>
    <t>0120-1234-5820</t>
  </si>
  <si>
    <t>本社　0120-1234-5820</t>
  </si>
  <si>
    <t>06-R-27  64141</t>
  </si>
  <si>
    <t>034345</t>
  </si>
  <si>
    <t>43T05</t>
  </si>
  <si>
    <t>未来屋書店 伊勢店</t>
  </si>
  <si>
    <t>8935　伊勢</t>
  </si>
  <si>
    <t>516-0014</t>
  </si>
  <si>
    <t>三重県伊勢市楠部町乙160-2　　イオン伊勢店２Ｆ</t>
  </si>
  <si>
    <t>0596-20-8255</t>
  </si>
  <si>
    <t>TEL 0596-20-8255</t>
  </si>
  <si>
    <t>0596-20-8256</t>
  </si>
  <si>
    <t>ms8935@miraiyashoten.co.jp</t>
  </si>
  <si>
    <t>06-R-44</t>
  </si>
  <si>
    <t>三重県伊勢市</t>
  </si>
  <si>
    <t>0120-1234-5821</t>
  </si>
  <si>
    <t>本社　0120-1234-5821</t>
  </si>
  <si>
    <t>06-R-44  64226</t>
  </si>
  <si>
    <t>035854</t>
  </si>
  <si>
    <t>43T46</t>
  </si>
  <si>
    <t>未来屋書店 各務原店</t>
  </si>
  <si>
    <t>2023　各務原</t>
  </si>
  <si>
    <t>504-0943</t>
  </si>
  <si>
    <t>岐阜県各務原市那加萱場町3-8　イオンモール各務原3F</t>
  </si>
  <si>
    <t>058-389-5008</t>
  </si>
  <si>
    <t>TEL 058-389-5008</t>
  </si>
  <si>
    <t>058-375-3151</t>
  </si>
  <si>
    <t>ms2023@miraiyashoten.co.jp</t>
  </si>
  <si>
    <t>92-L-56</t>
  </si>
  <si>
    <t>岐阜県各務原市</t>
  </si>
  <si>
    <t>0120-1234-5822</t>
  </si>
  <si>
    <t>本社　0120-1234-5822</t>
  </si>
  <si>
    <t>92-L-56  55371</t>
  </si>
  <si>
    <t>040110</t>
  </si>
  <si>
    <t>43T40</t>
  </si>
  <si>
    <t>215767</t>
  </si>
  <si>
    <t>未来屋書店 扶桑店</t>
  </si>
  <si>
    <t>9341　扶桑</t>
  </si>
  <si>
    <t>480-0105</t>
  </si>
  <si>
    <t>愛知県丹羽郡扶桑町大字南山名字高塚5番1　イオンモール扶桑2Ｆ</t>
  </si>
  <si>
    <t>0587-91-3262</t>
  </si>
  <si>
    <t>TEL 0587-91-3262</t>
  </si>
  <si>
    <t>0587-91-3263</t>
  </si>
  <si>
    <t>ms9341@miraiyashoten.co.jp</t>
  </si>
  <si>
    <t>E15-10</t>
  </si>
  <si>
    <t>愛知県丹羽郡</t>
  </si>
  <si>
    <t>0120-1234-5823</t>
  </si>
  <si>
    <t>K1835-67</t>
  </si>
  <si>
    <t>E15-10  561362</t>
  </si>
  <si>
    <t>036947</t>
  </si>
  <si>
    <t>未来屋書店 日永店</t>
  </si>
  <si>
    <t>2719　日永</t>
  </si>
  <si>
    <t>510-0885</t>
  </si>
  <si>
    <t>三重県四日市市日永４－２－４１　日永カヨー２Ｆ</t>
  </si>
  <si>
    <t>059-346-8819</t>
  </si>
  <si>
    <t>TEL 059-346-8819</t>
  </si>
  <si>
    <t>059-349-5121</t>
  </si>
  <si>
    <t>ms2719@miraiyashoten.co.jp</t>
  </si>
  <si>
    <t>D53-07</t>
  </si>
  <si>
    <t>三重県四日市市</t>
  </si>
  <si>
    <t>0120-1234-5824</t>
  </si>
  <si>
    <t>K1835-269</t>
  </si>
  <si>
    <t>D53-07  722110</t>
  </si>
  <si>
    <t>032812</t>
  </si>
  <si>
    <t>未来屋書店 名西店</t>
  </si>
  <si>
    <t>3563　名西</t>
  </si>
  <si>
    <t>451-0015</t>
  </si>
  <si>
    <t>愛知県名古屋市西区香呑町6-49-1　イオンタウン名西2Ｆ</t>
  </si>
  <si>
    <t>052-528-5531</t>
  </si>
  <si>
    <t>TEL 052-528-5531</t>
  </si>
  <si>
    <t>052-528-5532</t>
  </si>
  <si>
    <t>ms3563@miraiyashoten.co.jp</t>
  </si>
  <si>
    <t>04-R-06</t>
  </si>
  <si>
    <t>0120-1234-5825</t>
  </si>
  <si>
    <t>本社　0120-1234-5825</t>
  </si>
  <si>
    <t>04-R-06  54370</t>
  </si>
  <si>
    <t>044251</t>
  </si>
  <si>
    <t>43T68</t>
  </si>
  <si>
    <t>未来屋書店 東員店</t>
  </si>
  <si>
    <t>4793　東員</t>
  </si>
  <si>
    <t>511-0255</t>
  </si>
  <si>
    <t>三重県員弁郡東員町大字長深字築田510番地1　イオンモール東員2Ｆ</t>
  </si>
  <si>
    <t>0594-86-1781</t>
  </si>
  <si>
    <t>TEL 0594-86-1781</t>
  </si>
  <si>
    <t>0594-86-1782</t>
  </si>
  <si>
    <t>ms4793@miraiyashoten.co.jp</t>
  </si>
  <si>
    <t>06-R-47</t>
  </si>
  <si>
    <t>三重県員弁郡</t>
  </si>
  <si>
    <t>0120-1234-5826</t>
  </si>
  <si>
    <t>本社　0120-1234-5826</t>
  </si>
  <si>
    <t>06-R-47  64288</t>
  </si>
  <si>
    <t>044314</t>
  </si>
  <si>
    <t>44T30</t>
  </si>
  <si>
    <t>コンセ大安H</t>
  </si>
  <si>
    <t>未来屋書店 コンセ大安H店</t>
  </si>
  <si>
    <t>32647　コンセ大安H</t>
  </si>
  <si>
    <t>511-0272</t>
  </si>
  <si>
    <t>三重県いなべ市大安町高柳1945　イオン大安店内書籍売場</t>
  </si>
  <si>
    <t>0594-88-0111</t>
  </si>
  <si>
    <t>TEL 0594-88-0111</t>
  </si>
  <si>
    <t>ms32647@miraiyashoten.co.jp</t>
  </si>
  <si>
    <t>D38-35</t>
  </si>
  <si>
    <t>三重県いなべ市</t>
  </si>
  <si>
    <t>0120-1234-5827</t>
  </si>
  <si>
    <t>D38-35  727710</t>
  </si>
  <si>
    <t>046023</t>
  </si>
  <si>
    <t>未来屋書店 新瑞橋店</t>
  </si>
  <si>
    <t>5753　新瑞橋</t>
  </si>
  <si>
    <t>457-0012</t>
  </si>
  <si>
    <t>愛知県名古屋市南区菊住1丁目7-10　イオンモール新瑞橋2F</t>
  </si>
  <si>
    <t>052-829-3232</t>
  </si>
  <si>
    <t>TEL 052-829-3232</t>
  </si>
  <si>
    <t>052-829-3231</t>
  </si>
  <si>
    <t>ms5753@miraiyashoten.co.jp</t>
  </si>
  <si>
    <t>B21-10</t>
  </si>
  <si>
    <t>0120-1234-5828</t>
  </si>
  <si>
    <t>K1835-175</t>
  </si>
  <si>
    <t>B21-10  551070</t>
  </si>
  <si>
    <t>042805</t>
  </si>
  <si>
    <t>231290</t>
  </si>
  <si>
    <t>未来屋書店 八事店</t>
  </si>
  <si>
    <t>8936　八事</t>
  </si>
  <si>
    <t>466-0834</t>
  </si>
  <si>
    <t>愛知県名古屋市昭和区広路町字石坂2-1　イオン八事店4F</t>
  </si>
  <si>
    <t>052-861-3188</t>
  </si>
  <si>
    <t>TEL 052-861-3188</t>
  </si>
  <si>
    <t>052-861-3189</t>
  </si>
  <si>
    <t>ms8936@miraiyashoten.co.jp</t>
  </si>
  <si>
    <t>B21-48</t>
  </si>
  <si>
    <t>0120-1234-5829</t>
  </si>
  <si>
    <t>K1835-171</t>
  </si>
  <si>
    <t>B21-48  554260</t>
  </si>
  <si>
    <t>042672</t>
  </si>
  <si>
    <t>未来屋書店 大垣店</t>
  </si>
  <si>
    <t>5761　大垣</t>
  </si>
  <si>
    <t>503-0933</t>
  </si>
  <si>
    <t>岐阜県大垣市外野2丁目100番地　イオンモール大垣1F</t>
  </si>
  <si>
    <t>0584-88-2133</t>
  </si>
  <si>
    <t>TEL 0584-88-2133</t>
  </si>
  <si>
    <t>0584-87-2871</t>
  </si>
  <si>
    <t>ms5761@miraiyashoten.co.jp</t>
  </si>
  <si>
    <t>D47-02</t>
  </si>
  <si>
    <t>岐阜県大垣市</t>
  </si>
  <si>
    <t>0120-1234-5830</t>
  </si>
  <si>
    <t>K1835-15</t>
  </si>
  <si>
    <t>D47-02  586740</t>
  </si>
  <si>
    <t>039913</t>
  </si>
  <si>
    <t>未来屋書店 津城山店</t>
  </si>
  <si>
    <t>8918　津城山</t>
  </si>
  <si>
    <t>514-1112</t>
  </si>
  <si>
    <t>三重県津市久居小野辺町1130-7　イオン津城山ＳＣ2Ｆ</t>
  </si>
  <si>
    <t>059-254-1077</t>
  </si>
  <si>
    <t>TEL 059-254-1077</t>
  </si>
  <si>
    <t>059-254-1078</t>
  </si>
  <si>
    <t>ms8918@miraiyashoten.co.jp</t>
  </si>
  <si>
    <t>D53-27</t>
  </si>
  <si>
    <t>0120-1234-5831</t>
  </si>
  <si>
    <t>K1835-177</t>
  </si>
  <si>
    <t>D53-27  723700</t>
  </si>
  <si>
    <t>042914</t>
  </si>
  <si>
    <t>未来屋書店 有松店</t>
  </si>
  <si>
    <t>8932　有松</t>
  </si>
  <si>
    <t>458-0824</t>
  </si>
  <si>
    <t>愛知県名古屋市緑区鳴海町有松裏200　イオンタウン有松2F</t>
  </si>
  <si>
    <t>052-626-2051</t>
  </si>
  <si>
    <t>TEL 052-626-2051</t>
  </si>
  <si>
    <t>052-626-2052</t>
  </si>
  <si>
    <t>ms8932@miraiyashoten.co.jp</t>
  </si>
  <si>
    <t>B57-05</t>
  </si>
  <si>
    <t>0120-1234-5832</t>
  </si>
  <si>
    <t>K1835-3</t>
  </si>
  <si>
    <t>B57-05  551790</t>
  </si>
  <si>
    <t>038214</t>
  </si>
  <si>
    <t>未来屋書店 四日市尾平店</t>
  </si>
  <si>
    <t>8961　四日市尾平</t>
  </si>
  <si>
    <t>512-0921</t>
  </si>
  <si>
    <t>三重県四日市市尾平町字天王川原1805　　イオン四日市尾平店１Ｆ</t>
  </si>
  <si>
    <t>059-330-5771</t>
  </si>
  <si>
    <t>TEL 059-330-5771</t>
  </si>
  <si>
    <t>059-330-5772</t>
  </si>
  <si>
    <t>ms8961@miraiyashoten.co.jp</t>
  </si>
  <si>
    <t>E15-38</t>
  </si>
  <si>
    <t>0120-1234-5833</t>
  </si>
  <si>
    <t>K1835-90</t>
  </si>
  <si>
    <t>E15-38  729010</t>
  </si>
  <si>
    <t>035682</t>
  </si>
  <si>
    <t>未来屋書店 鈴鹿店</t>
  </si>
  <si>
    <t>9375　鈴鹿</t>
  </si>
  <si>
    <t>513-0834</t>
  </si>
  <si>
    <t>三重県鈴鹿市庄野羽山4丁目1-2　イオンモール鈴鹿2F</t>
  </si>
  <si>
    <t>059-375-0617</t>
  </si>
  <si>
    <t>TEL 059-375-0617</t>
  </si>
  <si>
    <t>059-375-0648</t>
  </si>
  <si>
    <t>ms9375@miraiyashoten.co.jp</t>
  </si>
  <si>
    <t>95-L-53</t>
  </si>
  <si>
    <t>三重県鈴鹿市</t>
  </si>
  <si>
    <t>0120-1234-5834</t>
  </si>
  <si>
    <t>本社　0120-1234-5834</t>
  </si>
  <si>
    <t>95-L-53  64315</t>
  </si>
  <si>
    <t>029813</t>
  </si>
  <si>
    <t>43T56</t>
  </si>
  <si>
    <t>241385</t>
  </si>
  <si>
    <t>ナゴヤドーム前</t>
  </si>
  <si>
    <t>未来屋書店 ナゴヤドーム前店</t>
  </si>
  <si>
    <t>8985　ナゴヤドーム前</t>
  </si>
  <si>
    <t>461-0048</t>
  </si>
  <si>
    <t>愛知県名古屋市東区矢田南4丁目102番3号　イオンモールナゴヤドーム前3Ｆ</t>
  </si>
  <si>
    <t>052-723-3321</t>
  </si>
  <si>
    <t>TEL 052-723-3321</t>
  </si>
  <si>
    <t>052-725-2390</t>
  </si>
  <si>
    <t>ms8985@miraiyashoten.co.jp</t>
  </si>
  <si>
    <t>0120-1234-5835</t>
  </si>
  <si>
    <t>K1835-8</t>
  </si>
  <si>
    <t>E15-21  557300</t>
  </si>
  <si>
    <t>038995</t>
  </si>
  <si>
    <t>231282</t>
  </si>
  <si>
    <t>諸橋さん指摘により客注番線修正</t>
  </si>
  <si>
    <t>未来屋書店 桑名店</t>
  </si>
  <si>
    <t>9388　桑名</t>
  </si>
  <si>
    <t>511-0863</t>
  </si>
  <si>
    <t>三重県桑名市新西方1丁目22番地　イオンモール桑名1番街3F</t>
  </si>
  <si>
    <t>0594-25-8101</t>
  </si>
  <si>
    <t>TEL 0594-25-8101</t>
  </si>
  <si>
    <t>0594-25-8102</t>
  </si>
  <si>
    <t>ms9388@miraiyashoten.co.jp</t>
  </si>
  <si>
    <t>09-R-62</t>
  </si>
  <si>
    <t>三重県桑名市</t>
  </si>
  <si>
    <t>0120-1234-5836</t>
  </si>
  <si>
    <t>本社　0120-1234-5836</t>
  </si>
  <si>
    <t>09-R-62  64023</t>
  </si>
  <si>
    <t>027994</t>
  </si>
  <si>
    <t>44T29</t>
  </si>
  <si>
    <t>未来屋書店 名古屋茶屋店</t>
  </si>
  <si>
    <t>8970　名古屋茶屋</t>
  </si>
  <si>
    <t>455-0858</t>
  </si>
  <si>
    <t>愛知県名古屋市港区西茶屋2丁目11　イオンモール名古屋茶屋3Ｆ</t>
  </si>
  <si>
    <t>052-309-3652</t>
  </si>
  <si>
    <t>TEL 052-309-3652</t>
  </si>
  <si>
    <t>052-309-3653</t>
  </si>
  <si>
    <t>ms8970@miraiyashoten.co.jp</t>
  </si>
  <si>
    <t>06-R-19</t>
  </si>
  <si>
    <t>0120-1234-5837</t>
  </si>
  <si>
    <t>本社　0120-1234-5837</t>
  </si>
  <si>
    <t>06-R-19  54419</t>
  </si>
  <si>
    <t>044551</t>
  </si>
  <si>
    <t>43T49</t>
  </si>
  <si>
    <t>未来屋書店 木曽川店</t>
  </si>
  <si>
    <t>12634　木曽川</t>
  </si>
  <si>
    <t>493-0001</t>
  </si>
  <si>
    <t>愛知県一宮市木曽川町黒田字南ハツケ池25-1　イオンモール木曽川1F</t>
  </si>
  <si>
    <t>0586-84-2680</t>
  </si>
  <si>
    <t>TEL 0586-84-2680</t>
  </si>
  <si>
    <t>0586-84-2681</t>
  </si>
  <si>
    <t>ms12634@miraiyashoten.co.jp</t>
  </si>
  <si>
    <t>D21-17</t>
  </si>
  <si>
    <t>愛知県一宮市</t>
  </si>
  <si>
    <t>0120-1234-5838</t>
  </si>
  <si>
    <t>K1835-302</t>
  </si>
  <si>
    <t>D21-17  566170</t>
  </si>
  <si>
    <t>045959</t>
  </si>
  <si>
    <t>236837</t>
  </si>
  <si>
    <t>未来屋書店 となみ店</t>
  </si>
  <si>
    <t>784　となみ</t>
  </si>
  <si>
    <t>939-1344</t>
  </si>
  <si>
    <t>09甲信越・北陸</t>
  </si>
  <si>
    <t>富山県砺波市中神一丁目174　イオンモールとなみ2Ｆ</t>
  </si>
  <si>
    <t>0763-32-7135</t>
  </si>
  <si>
    <t>TEL 0763-32-7135</t>
  </si>
  <si>
    <t>0763-32-7136</t>
  </si>
  <si>
    <t>ms784@miraiyashoten.co.jp</t>
  </si>
  <si>
    <t>08-R-31</t>
  </si>
  <si>
    <t>富山県砺波市</t>
  </si>
  <si>
    <t>0120-1234-5839</t>
  </si>
  <si>
    <t>本社　0120-1234-5839</t>
  </si>
  <si>
    <t>08-R-31  44530</t>
  </si>
  <si>
    <t>045065</t>
  </si>
  <si>
    <t>44T22</t>
  </si>
  <si>
    <t>コンセ白根</t>
  </si>
  <si>
    <t>未来屋書店 コンセ白根店</t>
  </si>
  <si>
    <t>1660　コンセ白根</t>
  </si>
  <si>
    <t>950-1213</t>
  </si>
  <si>
    <t>新潟県新潟市南区能登409-2　イオン白根店内</t>
  </si>
  <si>
    <t>080-3752-2736</t>
  </si>
  <si>
    <t>TEL 080-3752-2736</t>
  </si>
  <si>
    <t>無</t>
  </si>
  <si>
    <t>ms1660@miraiyashoten.co.jp</t>
  </si>
  <si>
    <t>A69-15</t>
  </si>
  <si>
    <t>新潟県新潟市</t>
  </si>
  <si>
    <t>0120-1234-5840</t>
  </si>
  <si>
    <t>A69-15  641370</t>
  </si>
  <si>
    <t>043855</t>
  </si>
  <si>
    <t>未来屋書店 新潟青山店</t>
  </si>
  <si>
    <t>9262　新潟青山</t>
  </si>
  <si>
    <t>950-2002</t>
  </si>
  <si>
    <t>新潟県新潟市西区青山二丁目5番1号　イオン新潟青山SC　２F</t>
  </si>
  <si>
    <t>025-201-2251</t>
  </si>
  <si>
    <t>TEL 025-201-2251</t>
  </si>
  <si>
    <t>025-201-2252</t>
  </si>
  <si>
    <t>ms9262@miraiyashoten.co.jp</t>
  </si>
  <si>
    <t>A70-31</t>
  </si>
  <si>
    <t>0120-1234-5841</t>
  </si>
  <si>
    <t>K1835-246</t>
  </si>
  <si>
    <t>A70-31  643100</t>
  </si>
  <si>
    <t>044104</t>
  </si>
  <si>
    <t>未来屋書店 新潟南店</t>
  </si>
  <si>
    <t>2701　新潟南</t>
  </si>
  <si>
    <t>950-0150</t>
  </si>
  <si>
    <t>新潟県新潟市江南区下早通柳田1丁目1番1号　イオンモール新潟南2Ｆ</t>
  </si>
  <si>
    <t>025-381-9100</t>
  </si>
  <si>
    <t>TEL 025-381-9100</t>
  </si>
  <si>
    <t>025-383-1060</t>
  </si>
  <si>
    <t>ms2701@miraiyashoten.co.jp</t>
  </si>
  <si>
    <t>A70-06</t>
  </si>
  <si>
    <t>0120-1234-5842</t>
  </si>
  <si>
    <t>K1835-107</t>
  </si>
  <si>
    <t>A70-06  642360</t>
  </si>
  <si>
    <t>040323</t>
  </si>
  <si>
    <t>150533</t>
  </si>
  <si>
    <t>未来屋書店 新発田店</t>
  </si>
  <si>
    <t>8983　新発田</t>
  </si>
  <si>
    <t>957-0061</t>
  </si>
  <si>
    <t>新潟県新発田市住吉町5-11-5　イオンモール新発田2F</t>
  </si>
  <si>
    <t>0254-20-4444</t>
  </si>
  <si>
    <t>TEL 0254-20-4444</t>
  </si>
  <si>
    <t>0254-20-4455</t>
  </si>
  <si>
    <t>ms8983@miraiyashoten.co.jp</t>
  </si>
  <si>
    <t>04-R-07</t>
  </si>
  <si>
    <t>新潟県新発田市</t>
  </si>
  <si>
    <t>0120-1234-5843</t>
  </si>
  <si>
    <t>本社　0120-1234-5843</t>
  </si>
  <si>
    <t>04-R-07  48284</t>
  </si>
  <si>
    <t>038216</t>
  </si>
  <si>
    <t>43T54</t>
  </si>
  <si>
    <t>未来屋書店 上田店</t>
  </si>
  <si>
    <t>3486　上田</t>
  </si>
  <si>
    <t>386-0018</t>
  </si>
  <si>
    <t>長野県上田市常田2-12-18　イオン上田SC 2F</t>
  </si>
  <si>
    <t>0268-71-1313</t>
  </si>
  <si>
    <t>TEL 0268-71-1313</t>
  </si>
  <si>
    <t>0268-71-1314</t>
  </si>
  <si>
    <t>ms3486@miraiyashoten.co.jp</t>
  </si>
  <si>
    <t>09-R-97</t>
  </si>
  <si>
    <t>長野県上田市</t>
  </si>
  <si>
    <t>0120-1234-5844</t>
  </si>
  <si>
    <t>本社　0120-1234-5844</t>
  </si>
  <si>
    <t>09-R-97  46818</t>
  </si>
  <si>
    <t>037663</t>
  </si>
  <si>
    <t>43T28</t>
  </si>
  <si>
    <t>未来屋書店 杜の里店</t>
  </si>
  <si>
    <t>5567　杜の里</t>
  </si>
  <si>
    <t>920-1165</t>
  </si>
  <si>
    <t>石川県金沢市もりの里1丁目70番地　イオンもりの里店２F</t>
  </si>
  <si>
    <t>076-234-2181</t>
  </si>
  <si>
    <t>TEL 076-234-2181</t>
  </si>
  <si>
    <t>076-234-2182</t>
  </si>
  <si>
    <t>ms5567@miraiyashoten.co.jp</t>
  </si>
  <si>
    <t>05-R-05</t>
  </si>
  <si>
    <t>石川県金沢市</t>
  </si>
  <si>
    <t>0120-1234-5845</t>
  </si>
  <si>
    <t>本社　0120-1234-5845</t>
  </si>
  <si>
    <t>05-R-05  43482</t>
  </si>
  <si>
    <t>036378</t>
  </si>
  <si>
    <t>43T26</t>
  </si>
  <si>
    <t>コンセ松任</t>
  </si>
  <si>
    <t>未来屋書店 コンセ松任店</t>
  </si>
  <si>
    <t>5853　コンセ松任</t>
  </si>
  <si>
    <t>924-0841</t>
  </si>
  <si>
    <t>石川県白山市平松町102-1　イオン松任店２Ｆ</t>
  </si>
  <si>
    <t>080-3605-4458</t>
  </si>
  <si>
    <t>TEL 080-3605-4458</t>
  </si>
  <si>
    <t>ms5853@miraiyashoten.co.jp</t>
  </si>
  <si>
    <t>D51-05</t>
  </si>
  <si>
    <t>石川県白山市</t>
  </si>
  <si>
    <t>0120-1234-5846</t>
  </si>
  <si>
    <t>K1835-84</t>
  </si>
  <si>
    <t>D51-05  673110</t>
  </si>
  <si>
    <t>036282</t>
  </si>
  <si>
    <t>未来屋書店 佐久平店</t>
  </si>
  <si>
    <t>5756　佐久平</t>
  </si>
  <si>
    <t>385-0029</t>
  </si>
  <si>
    <t>長野県佐久市佐久平駅南11-10　イオンモール佐久平2F</t>
  </si>
  <si>
    <t>0267-66-3113</t>
  </si>
  <si>
    <t>TEL 0267-66-3113</t>
  </si>
  <si>
    <t>0267-66-3114</t>
  </si>
  <si>
    <t>ms5756@miraiyashoten.co.jp</t>
  </si>
  <si>
    <t>04-R-33</t>
  </si>
  <si>
    <t>長野県佐久市</t>
  </si>
  <si>
    <t>0120-1234-5847</t>
  </si>
  <si>
    <t>本社　0120-1234-5847</t>
  </si>
  <si>
    <t>04-R-33  46092</t>
  </si>
  <si>
    <t>031699</t>
  </si>
  <si>
    <t>44T23</t>
  </si>
  <si>
    <t>200603</t>
  </si>
  <si>
    <t>未来屋書店 穂高店</t>
  </si>
  <si>
    <t>5757　穂高</t>
  </si>
  <si>
    <t>399-8301</t>
  </si>
  <si>
    <t>長野県安曇野市穂高有明10368-1　ザ・ビッグ穂高店1F</t>
  </si>
  <si>
    <t>0263-83-6430</t>
  </si>
  <si>
    <t>TEL 0263-83-6430</t>
  </si>
  <si>
    <t>0263-83-6429</t>
  </si>
  <si>
    <t>ms5757@miraiyashoten.co.jp</t>
  </si>
  <si>
    <t>A66-24</t>
  </si>
  <si>
    <t>長野県安曇野市</t>
  </si>
  <si>
    <t>0120-1234-5848</t>
  </si>
  <si>
    <t>K1835-77</t>
  </si>
  <si>
    <t>A66-24  624010</t>
  </si>
  <si>
    <t>026548</t>
  </si>
  <si>
    <t>未来屋書店 松本店</t>
  </si>
  <si>
    <t>8927　松本</t>
  </si>
  <si>
    <t>390-8560</t>
  </si>
  <si>
    <t>長野県松本市中央4丁目9番51号　イオンモール松本空庭１Ｆ</t>
  </si>
  <si>
    <t>0263-38-7760</t>
  </si>
  <si>
    <t>TEL 0263-38-7760</t>
  </si>
  <si>
    <t>0263-38-7761</t>
  </si>
  <si>
    <t>ms8927@miraiyashoten.co.jp</t>
  </si>
  <si>
    <t>A67-15</t>
  </si>
  <si>
    <t>長野県松本市</t>
  </si>
  <si>
    <t>0120-1234-5849</t>
  </si>
  <si>
    <t>K1835-307</t>
  </si>
  <si>
    <t>A67-15  623300</t>
  </si>
  <si>
    <t>046038</t>
  </si>
  <si>
    <t>200751</t>
  </si>
  <si>
    <t>未来屋書店 上越店</t>
  </si>
  <si>
    <t>9347　上越</t>
  </si>
  <si>
    <t>943-0173</t>
  </si>
  <si>
    <t>新潟県上越市富岡3457　イオン上越店1Ｆ</t>
  </si>
  <si>
    <t>025-521-5791</t>
  </si>
  <si>
    <t>TEL 025-521-5791</t>
  </si>
  <si>
    <t>025-521-5792</t>
  </si>
  <si>
    <t>ms9347@miraiyashoten.co.jp</t>
  </si>
  <si>
    <t>11-R-64</t>
  </si>
  <si>
    <t>新潟県上越市</t>
  </si>
  <si>
    <t>0120-1234-5850</t>
  </si>
  <si>
    <t>本社　0120-1234-5850</t>
  </si>
  <si>
    <t>11-R-64  48212</t>
  </si>
  <si>
    <t>036145</t>
  </si>
  <si>
    <t>コンセ南松本H</t>
  </si>
  <si>
    <t>未来屋書店 コンセ南松本H店</t>
  </si>
  <si>
    <t>12568　コンセ南松本H</t>
  </si>
  <si>
    <t>390-0833</t>
  </si>
  <si>
    <t>長野県松本市双葉5-20　イオン南松本店内書籍売場</t>
  </si>
  <si>
    <t>0263-29-0011</t>
  </si>
  <si>
    <t>TEL 0263-29-0011</t>
  </si>
  <si>
    <t>ms12568@miraiyashoten.co.jp</t>
  </si>
  <si>
    <t>0120-1234-5851</t>
  </si>
  <si>
    <t>045680</t>
  </si>
  <si>
    <t>未来屋書店 鴻池店</t>
  </si>
  <si>
    <t>498　鴻池</t>
  </si>
  <si>
    <t>578-0972</t>
  </si>
  <si>
    <t>10西日本第一</t>
  </si>
  <si>
    <t>大阪府東大阪市鴻池町1-1-72　イオン鴻池店東館2F</t>
  </si>
  <si>
    <t>06-6748-7136</t>
  </si>
  <si>
    <t>TEL 06-6748-7136</t>
  </si>
  <si>
    <t>06-6748-7137</t>
  </si>
  <si>
    <t>ms498@miraiyashoten.co.jp</t>
  </si>
  <si>
    <t>06-R-22</t>
  </si>
  <si>
    <t>大阪府東大阪市</t>
  </si>
  <si>
    <t>0120-1234-5852</t>
  </si>
  <si>
    <t>本社　0120-1234-5852</t>
  </si>
  <si>
    <t>06-R-22  65263</t>
  </si>
  <si>
    <t>031226</t>
  </si>
  <si>
    <t>43T03</t>
  </si>
  <si>
    <t>アシーネ 古川橋駅前</t>
  </si>
  <si>
    <t xml:space="preserve"> アシーネ 古川橋駅前店</t>
  </si>
  <si>
    <t>8514　アシーネ古川橋駅前</t>
  </si>
  <si>
    <t>571-0030</t>
  </si>
  <si>
    <t>大阪府門真市末広町41-2 イオン古川橋駅前店3F</t>
  </si>
  <si>
    <t>06-6916-8087</t>
  </si>
  <si>
    <t>TEL 06-6916-8087</t>
  </si>
  <si>
    <t>兼06-6916-8087</t>
  </si>
  <si>
    <t>ms8514@miraiyashoten.co.jp</t>
  </si>
  <si>
    <t>E12-22</t>
  </si>
  <si>
    <t>大阪府門真市</t>
  </si>
  <si>
    <t>0120-1234-5853</t>
  </si>
  <si>
    <t>A1953-49</t>
  </si>
  <si>
    <t>E12-22  762790</t>
  </si>
  <si>
    <t>039917</t>
  </si>
  <si>
    <t>尼崎</t>
  </si>
  <si>
    <t>未来屋書店 尼崎店</t>
  </si>
  <si>
    <t>9326　尼崎</t>
  </si>
  <si>
    <t>661-0965</t>
  </si>
  <si>
    <t>兵庫県尼崎市次屋3-13-18　イオン尼崎店1Ｆ</t>
  </si>
  <si>
    <t>06-6494-1761</t>
  </si>
  <si>
    <t>TEL 06-6494-1761</t>
  </si>
  <si>
    <t>06-6494-1762</t>
  </si>
  <si>
    <t>ms9326@miraiyashoten.co.jp</t>
  </si>
  <si>
    <t>10-R-95</t>
  </si>
  <si>
    <t>兵庫県尼崎市</t>
  </si>
  <si>
    <t>0120-1234-5854</t>
  </si>
  <si>
    <t>本社　0120-1234-5854</t>
  </si>
  <si>
    <t>10-R-95  69833</t>
  </si>
  <si>
    <t>043264</t>
  </si>
  <si>
    <t>未来屋書店 四條畷店</t>
  </si>
  <si>
    <t>785　四條畷</t>
  </si>
  <si>
    <t>575-0001</t>
  </si>
  <si>
    <t>大阪府四條畷市砂四丁目３番２号　イオンモール四條畷3Ｆ</t>
  </si>
  <si>
    <t>072-803-0302</t>
  </si>
  <si>
    <t>TEL 072-803-0302</t>
  </si>
  <si>
    <t>072-803-0304</t>
  </si>
  <si>
    <t>ms785@miraiyashoten.co.jp</t>
  </si>
  <si>
    <t>18-L-15</t>
  </si>
  <si>
    <t>大阪府四條畷市</t>
  </si>
  <si>
    <t>0120-1234-5855</t>
  </si>
  <si>
    <t>本社　0120-1234-5855</t>
  </si>
  <si>
    <t>18-L-15  65229</t>
  </si>
  <si>
    <t>045297</t>
  </si>
  <si>
    <t>43T50</t>
  </si>
  <si>
    <t>未来屋書店 和泉府中店</t>
  </si>
  <si>
    <t>1104　和泉府中</t>
  </si>
  <si>
    <t>594-0076</t>
  </si>
  <si>
    <t>大阪府和泉市肥子町2-2-1　イオン和泉府中店3F</t>
  </si>
  <si>
    <t>0725-40-0138</t>
  </si>
  <si>
    <t>TEL 0725-40-0138</t>
  </si>
  <si>
    <t>0725-40-0139</t>
  </si>
  <si>
    <t>ms1104@miraiyashoten.co.jp</t>
  </si>
  <si>
    <t>06-R-11</t>
  </si>
  <si>
    <t>大阪府和泉市</t>
  </si>
  <si>
    <t>0120-1234-5856</t>
  </si>
  <si>
    <t>本社　0120-1234-5856</t>
  </si>
  <si>
    <t>06-R-11  65039</t>
  </si>
  <si>
    <t>005081</t>
  </si>
  <si>
    <t>43T13</t>
  </si>
  <si>
    <t>未来屋書店 日根野店</t>
  </si>
  <si>
    <t>8910　日根野</t>
  </si>
  <si>
    <t>598-0021</t>
  </si>
  <si>
    <t>大阪府泉佐野市日根野2496-1　イオンモール日根野2Ｆ</t>
  </si>
  <si>
    <t>072-450-3077</t>
  </si>
  <si>
    <t>TEL 072-450-3077</t>
  </si>
  <si>
    <t>072-450-3078</t>
  </si>
  <si>
    <t>ms8910@miraiyashoten.co.jp</t>
  </si>
  <si>
    <t>E12-26</t>
  </si>
  <si>
    <t>大阪府泉佐野市</t>
  </si>
  <si>
    <t>0120-1234-5857</t>
  </si>
  <si>
    <t>K1835-165</t>
  </si>
  <si>
    <t>E12-26  768460</t>
  </si>
  <si>
    <t>042277</t>
  </si>
  <si>
    <t>未来屋書店 茨木店</t>
  </si>
  <si>
    <t>1606　茨木</t>
  </si>
  <si>
    <t>567-0033</t>
  </si>
  <si>
    <t>大阪府茨木市松ヶ本町8番30号-3　イオンモール茨木3F</t>
  </si>
  <si>
    <t>072-631-2310</t>
  </si>
  <si>
    <t>TEL 072-631-2310</t>
  </si>
  <si>
    <t>072-631-2328</t>
  </si>
  <si>
    <t>ms1606@miraiyashoten.co.jp</t>
  </si>
  <si>
    <t>B33-78</t>
  </si>
  <si>
    <t>大阪府茨木市</t>
  </si>
  <si>
    <t>0120-1234-5858</t>
  </si>
  <si>
    <t>K1835-201</t>
  </si>
  <si>
    <t>B33-78  763440</t>
  </si>
  <si>
    <t>034261</t>
  </si>
  <si>
    <t>三田ウッディタウン</t>
  </si>
  <si>
    <t>未来屋書店 三田ウッディタウン店</t>
  </si>
  <si>
    <t>1613　三田ウッディタウン</t>
  </si>
  <si>
    <t>669-1321</t>
  </si>
  <si>
    <t>兵庫県三田市けやき台1丁目6番地2　イオン三田ウッディタウン店2F</t>
  </si>
  <si>
    <t>079-561-3411</t>
  </si>
  <si>
    <t>TEL 079-561-3411</t>
  </si>
  <si>
    <t>079-561-3410</t>
  </si>
  <si>
    <t>ms1613@miraiyashoten.co.jp</t>
  </si>
  <si>
    <t>02-R-18</t>
  </si>
  <si>
    <t>兵庫県三田市</t>
  </si>
  <si>
    <t>0120-1234-5859</t>
  </si>
  <si>
    <t>本社　0120-1234-5859</t>
  </si>
  <si>
    <t>02-R-18  69346</t>
  </si>
  <si>
    <t>033976</t>
  </si>
  <si>
    <t>43T09</t>
  </si>
  <si>
    <t>未来屋書店 久御山店</t>
  </si>
  <si>
    <t>1625　久御山</t>
  </si>
  <si>
    <t>613-0024</t>
  </si>
  <si>
    <t>京都府久世郡久御山町森南大内156-1　イオン久御山SC2Ｆ</t>
  </si>
  <si>
    <t>075-633-5288</t>
  </si>
  <si>
    <t>TEL 075-633-5288</t>
  </si>
  <si>
    <t>075-633-5289</t>
  </si>
  <si>
    <t>ms1625@miraiyashoten.co.jp</t>
  </si>
  <si>
    <t>08-R-82</t>
  </si>
  <si>
    <t>京都府久世郡</t>
  </si>
  <si>
    <t>0120-1234-5860</t>
  </si>
  <si>
    <t>本社　0120-1234-5860</t>
  </si>
  <si>
    <t>08-R-82  67252</t>
  </si>
  <si>
    <t>043577</t>
  </si>
  <si>
    <t>池谷さん福地さん要望により</t>
  </si>
  <si>
    <t>未来屋書店 和歌山店</t>
  </si>
  <si>
    <t>5857　和歌山</t>
  </si>
  <si>
    <t>640-8451</t>
  </si>
  <si>
    <t>和歌山県和歌山市中字楠谷573番地　イオンモール和歌山1Ｆ</t>
  </si>
  <si>
    <t>073-480-5333</t>
  </si>
  <si>
    <t>TEL 073-480-5333</t>
  </si>
  <si>
    <t>073-480-5334</t>
  </si>
  <si>
    <t>ms5857@miraiyashoten.co.jp</t>
  </si>
  <si>
    <t>E12-10</t>
  </si>
  <si>
    <t>和歌山県和歌山市</t>
  </si>
  <si>
    <t>0120-1234-5861</t>
  </si>
  <si>
    <t>K1835-258</t>
  </si>
  <si>
    <t>E12-10  781500</t>
  </si>
  <si>
    <t>044428</t>
  </si>
  <si>
    <t>經澤さん要望により</t>
  </si>
  <si>
    <t>北千里</t>
  </si>
  <si>
    <t>未来屋書店 北千里店</t>
  </si>
  <si>
    <t>8477　北千里</t>
  </si>
  <si>
    <t>565-0874</t>
  </si>
  <si>
    <t>大阪府吹田市古江台4-2-50 イオン北千里店4F</t>
  </si>
  <si>
    <t>06-6873-4313</t>
  </si>
  <si>
    <t>TEL 06-6873-4313</t>
  </si>
  <si>
    <t>兼06-6873-4313</t>
  </si>
  <si>
    <t>ms8477@miraiyashoten.co.jp</t>
  </si>
  <si>
    <t>11-R-66</t>
  </si>
  <si>
    <t>大阪府吹田市</t>
  </si>
  <si>
    <t>0120-1234-5862</t>
  </si>
  <si>
    <t>本社　0120-1234-5862</t>
  </si>
  <si>
    <t>11-R-66  65314</t>
  </si>
  <si>
    <t>044688</t>
  </si>
  <si>
    <t>44T31</t>
  </si>
  <si>
    <t>アシーネ 田辺</t>
  </si>
  <si>
    <t xml:space="preserve"> アシーネ 田辺店</t>
  </si>
  <si>
    <t>8768　アシーネ田辺</t>
  </si>
  <si>
    <t>646-0026</t>
  </si>
  <si>
    <t>和歌山県田辺市宝来町24-26 グルメシティ田辺SC店1F</t>
  </si>
  <si>
    <t>0739-26-6018</t>
  </si>
  <si>
    <t>TEL 0739-26-6018</t>
  </si>
  <si>
    <t>兼0739-26-6018</t>
  </si>
  <si>
    <t>ms8768@miraiyashoten.co.jp</t>
  </si>
  <si>
    <t>和歌山県田辺市</t>
  </si>
  <si>
    <t>0120-1234-5863</t>
  </si>
  <si>
    <t>A1953-63</t>
  </si>
  <si>
    <t>E12-10  785640</t>
  </si>
  <si>
    <t>035512</t>
  </si>
  <si>
    <t>未来屋書店 小阪店</t>
  </si>
  <si>
    <t>9350　小阪</t>
  </si>
  <si>
    <t>577-0036</t>
  </si>
  <si>
    <t>大阪府東大阪市御厨栄町1-6-6　イオンタウン小阪1F</t>
  </si>
  <si>
    <t>06-4308-6371</t>
  </si>
  <si>
    <t>TEL 06-4308-6371</t>
  </si>
  <si>
    <t>06-4308-6372</t>
  </si>
  <si>
    <t>ms9350@miraiyashoten.co.jp</t>
  </si>
  <si>
    <t>06-R-41</t>
  </si>
  <si>
    <t>0120-1234-5864</t>
  </si>
  <si>
    <t>本社　0120-1234-5864</t>
  </si>
  <si>
    <t>06-R-41  65214</t>
  </si>
  <si>
    <t>037975</t>
  </si>
  <si>
    <t>43T37</t>
  </si>
  <si>
    <t>未来屋書店 喜連瓜破店</t>
  </si>
  <si>
    <t>8942　喜連瓜破</t>
  </si>
  <si>
    <t>547-0024</t>
  </si>
  <si>
    <t>大阪府大阪市平野区瓜破2-1-13　イオン喜連瓜破SC3階</t>
  </si>
  <si>
    <t>06-4302-3022</t>
  </si>
  <si>
    <t>TEL 06-4302-3022</t>
  </si>
  <si>
    <t>06-4302-3032</t>
  </si>
  <si>
    <t>ms8942@miraiyashoten.co.jp</t>
  </si>
  <si>
    <t>07-R-34</t>
  </si>
  <si>
    <t>大阪府大阪市</t>
  </si>
  <si>
    <t>0120-1234-5865</t>
  </si>
  <si>
    <t>本社　0120-1234-5865</t>
  </si>
  <si>
    <t>07-R-34  66318</t>
  </si>
  <si>
    <t>038861</t>
  </si>
  <si>
    <t>44T34</t>
  </si>
  <si>
    <t>アシーネ 長吉</t>
  </si>
  <si>
    <t xml:space="preserve"> アシーネ 長吉店</t>
  </si>
  <si>
    <t>9045　アシーネ長吉</t>
  </si>
  <si>
    <t>547-0015</t>
  </si>
  <si>
    <t>大阪府大阪市平野区長吉長原西1-1-10 イオン長吉店4F</t>
  </si>
  <si>
    <t>06-6705-7204</t>
  </si>
  <si>
    <t>TEL 06-6705-7204</t>
  </si>
  <si>
    <t>兼06-6705-7204</t>
  </si>
  <si>
    <t>ms9045@miraiyashoten.co.jp</t>
  </si>
  <si>
    <t>0120-1234-5866</t>
  </si>
  <si>
    <t>A1953-43</t>
  </si>
  <si>
    <t>E12-22  756500</t>
  </si>
  <si>
    <t>017360</t>
  </si>
  <si>
    <t>未来屋書店 高槻店</t>
  </si>
  <si>
    <t>8944　高槻</t>
  </si>
  <si>
    <t>569-8567</t>
  </si>
  <si>
    <t>大阪府高槻市萩之庄３-４７-２　　イオン高槻店３F</t>
  </si>
  <si>
    <t>072-660-3511</t>
  </si>
  <si>
    <t>TEL 072-660-3511</t>
  </si>
  <si>
    <t>072-660-3512</t>
  </si>
  <si>
    <t>ms8944@miraiyashoten.co.jp</t>
  </si>
  <si>
    <t>09-R-84</t>
  </si>
  <si>
    <t>大阪府高槻市</t>
  </si>
  <si>
    <t>0120-1234-5867</t>
  </si>
  <si>
    <t>本社　0120-1234-5867</t>
  </si>
  <si>
    <t>09-R-84  65344</t>
  </si>
  <si>
    <t>035960</t>
  </si>
  <si>
    <t>44T32</t>
  </si>
  <si>
    <t>未来屋書店 大日店</t>
  </si>
  <si>
    <t>8958　大日</t>
  </si>
  <si>
    <t>570-0016</t>
  </si>
  <si>
    <t>大阪府守口市大日東町1番18号　イオンモール大日3Ｆ</t>
  </si>
  <si>
    <t>06-6900-6030</t>
  </si>
  <si>
    <t>TEL 06-6900-6030</t>
  </si>
  <si>
    <t>06-6900-6106</t>
  </si>
  <si>
    <t>ms8958@miraiyashoten.co.jp</t>
  </si>
  <si>
    <t>E13-21</t>
  </si>
  <si>
    <t>大阪府守口市</t>
  </si>
  <si>
    <t>0120-1234-5868</t>
  </si>
  <si>
    <t>K1835-137</t>
  </si>
  <si>
    <t>E13-21  762410</t>
  </si>
  <si>
    <t>039421</t>
  </si>
  <si>
    <t>未来屋書店 平野駅前店</t>
  </si>
  <si>
    <t>8960　平野駅前</t>
  </si>
  <si>
    <t>547-0041</t>
  </si>
  <si>
    <t>大阪府大阪市平野区平野北1-8-2　イオンタウン平野1F</t>
  </si>
  <si>
    <t>06-4303-6307</t>
  </si>
  <si>
    <t>TEL 06-4303-6307</t>
  </si>
  <si>
    <t>06-4303-6308</t>
  </si>
  <si>
    <t>ms8960@miraiyashoten.co.jp</t>
  </si>
  <si>
    <t>04-R-17</t>
  </si>
  <si>
    <t>0120-1234-5869</t>
  </si>
  <si>
    <t>本社　0120-1234-5869</t>
  </si>
  <si>
    <t>04-R-17  66993</t>
  </si>
  <si>
    <t>037351</t>
  </si>
  <si>
    <t>43T52</t>
  </si>
  <si>
    <t>未来屋書店 高の原店</t>
  </si>
  <si>
    <t>8967　高の原</t>
  </si>
  <si>
    <t>619-0223</t>
  </si>
  <si>
    <t>京都府木津川市相楽台1-1-1　イオンモール高の原3Ｆ</t>
  </si>
  <si>
    <t>0774-73-1714</t>
  </si>
  <si>
    <t>TEL 0774-73-1714</t>
  </si>
  <si>
    <t>0774-71-8765</t>
  </si>
  <si>
    <t>ms8967@miraiyashoten.co.jp</t>
  </si>
  <si>
    <t>E13-23</t>
  </si>
  <si>
    <t>京都府木津川市</t>
  </si>
  <si>
    <t>0120-1234-5870</t>
  </si>
  <si>
    <t>K1835-140</t>
  </si>
  <si>
    <t>E13-23  743750</t>
  </si>
  <si>
    <t>039914</t>
  </si>
  <si>
    <t>アシーネ 吹田</t>
  </si>
  <si>
    <t xml:space="preserve"> アシーネ 吹田店</t>
  </si>
  <si>
    <t>9044　アシーネ吹田</t>
  </si>
  <si>
    <t>564-0027</t>
  </si>
  <si>
    <t>大阪府吹田市朝日町2-101 イオン吹田店4F</t>
  </si>
  <si>
    <t>06-6317-4116</t>
  </si>
  <si>
    <t>TEL 06-6317-4116</t>
  </si>
  <si>
    <t>兼06-6317-4116</t>
  </si>
  <si>
    <t>ms9044@miraiyashoten.co.jp</t>
  </si>
  <si>
    <t>E12-28</t>
  </si>
  <si>
    <t>0120-1234-5871</t>
  </si>
  <si>
    <t>A1953-48</t>
  </si>
  <si>
    <t>E12-28  762270</t>
  </si>
  <si>
    <t>011904</t>
  </si>
  <si>
    <t>大阪ドームシティ</t>
  </si>
  <si>
    <t>未来屋書店 大阪ドームシティ店</t>
  </si>
  <si>
    <t>9275　大阪ドームシティ</t>
  </si>
  <si>
    <t>550-0023</t>
  </si>
  <si>
    <t>大阪府大阪市西区千代崎3丁目13番1　イオンモール大阪ドームシティ3Ｆ</t>
  </si>
  <si>
    <t>06-6584-2770</t>
  </si>
  <si>
    <t>TEL 06-6584-2770</t>
  </si>
  <si>
    <t>06-6584-2780</t>
  </si>
  <si>
    <t>ms9275@miraiyashoten.co.jp</t>
  </si>
  <si>
    <t>07-R-21</t>
  </si>
  <si>
    <t>0120-1234-5872</t>
  </si>
  <si>
    <t>本社　0120-1234-5872</t>
  </si>
  <si>
    <t>07-R-21  66072</t>
  </si>
  <si>
    <t>044176</t>
  </si>
  <si>
    <t>44T33</t>
  </si>
  <si>
    <t>未来屋書店 天理店</t>
  </si>
  <si>
    <t>12186　天理</t>
  </si>
  <si>
    <t>632-0074</t>
  </si>
  <si>
    <t>奈良県天理市東井戸堂町381 イオンタウン天理SC内</t>
  </si>
  <si>
    <t>0743-69-6702</t>
  </si>
  <si>
    <t>TEL 0743-69-6702</t>
  </si>
  <si>
    <t>0743-69-6703</t>
  </si>
  <si>
    <t>ms12186@miraiyashoten.co.jp</t>
  </si>
  <si>
    <t>07-R-54</t>
  </si>
  <si>
    <t>奈良県天理市</t>
  </si>
  <si>
    <t>0120-1234-5873</t>
  </si>
  <si>
    <t>本社　0120-1234-5873</t>
  </si>
  <si>
    <t>07-R-54  62883</t>
  </si>
  <si>
    <t>045700</t>
  </si>
  <si>
    <t>44T28</t>
  </si>
  <si>
    <t>未来屋書店 新茨木店</t>
  </si>
  <si>
    <t>9392　新茨木</t>
  </si>
  <si>
    <t>567-0824</t>
  </si>
  <si>
    <t>大阪府茨木市中津町１８-１　イオンスタイル新茨木店３Ｆ</t>
  </si>
  <si>
    <t>072-630-5523</t>
  </si>
  <si>
    <t>TEL 072-630-5523</t>
  </si>
  <si>
    <t>072-630-5524</t>
  </si>
  <si>
    <t>ms9392@miraiyashoten.co.jp</t>
  </si>
  <si>
    <t>0120-1234-5874</t>
  </si>
  <si>
    <t>K1835-138</t>
  </si>
  <si>
    <t>E13-23  763560</t>
  </si>
  <si>
    <t>035962</t>
  </si>
  <si>
    <t>未来屋書店 りんくう泉南店</t>
  </si>
  <si>
    <t>12773　りんくう泉南</t>
  </si>
  <si>
    <t>590-0535</t>
  </si>
  <si>
    <t>大阪府泉南市りんくう南浜3-12　イオンモールりんくう泉南2Ｆ</t>
  </si>
  <si>
    <t>072-482-0517</t>
  </si>
  <si>
    <t>TEL 072-482-0517</t>
  </si>
  <si>
    <t>072-482-0518</t>
  </si>
  <si>
    <t>ms12773@miraiyashoten.co.jp</t>
  </si>
  <si>
    <t>98-L-76</t>
  </si>
  <si>
    <t>大阪府泉南市</t>
  </si>
  <si>
    <t>0120-1234-5875</t>
  </si>
  <si>
    <t>本社　0120-1234-5875</t>
  </si>
  <si>
    <t>98-L-76  65605</t>
  </si>
  <si>
    <t>045877</t>
  </si>
  <si>
    <t>46T15</t>
  </si>
  <si>
    <t>未来屋書店 大津京店</t>
  </si>
  <si>
    <t>12787　大津京</t>
  </si>
  <si>
    <t>520-0025</t>
  </si>
  <si>
    <t>滋賀県大津市皇子が丘3-11-1 イオンスタイル大津京4Ｆ</t>
  </si>
  <si>
    <t>077-510-2412</t>
  </si>
  <si>
    <t>TEL 077-510-2412</t>
  </si>
  <si>
    <t>077-510-2413</t>
  </si>
  <si>
    <t>ms12787@miraiyashoten.co.jp</t>
  </si>
  <si>
    <t>滋賀県大津市</t>
  </si>
  <si>
    <t>0120-1234-5876</t>
  </si>
  <si>
    <t>K1835-300</t>
  </si>
  <si>
    <t>E12-10  712000</t>
  </si>
  <si>
    <t>045908</t>
  </si>
  <si>
    <t>未来屋書店 ジェームス山店</t>
  </si>
  <si>
    <t>618　ジェームス山</t>
  </si>
  <si>
    <t>655-0873</t>
  </si>
  <si>
    <t>11西日本第二</t>
  </si>
  <si>
    <t>兵庫県神戸市垂水区青山台7-7-1　イオンジェームス山店4F</t>
  </si>
  <si>
    <t>078-755-2027</t>
  </si>
  <si>
    <t>TEL 078-755-2027</t>
  </si>
  <si>
    <t>078-755-2028</t>
  </si>
  <si>
    <t>ms618@miraiyashoten.co.jp</t>
  </si>
  <si>
    <t>09-R-22</t>
  </si>
  <si>
    <t>兵庫県神戸市</t>
  </si>
  <si>
    <t>0120-1234-5877</t>
  </si>
  <si>
    <t>本社　0120-1234-5877</t>
  </si>
  <si>
    <t>09-R-22  69358</t>
  </si>
  <si>
    <t>030291</t>
  </si>
  <si>
    <t>43T29</t>
  </si>
  <si>
    <t>未来屋書店 小野店</t>
  </si>
  <si>
    <t>1611　小野</t>
  </si>
  <si>
    <t>675-1378</t>
  </si>
  <si>
    <t>兵庫県小野市王子町868-1　イオン小野店1F</t>
  </si>
  <si>
    <t>0794-64-9205</t>
  </si>
  <si>
    <t>TEL 0794-64-9205</t>
  </si>
  <si>
    <t>0794-64-9206</t>
  </si>
  <si>
    <t>ms1611@miraiyashoten.co.jp</t>
  </si>
  <si>
    <t>06-R-05</t>
  </si>
  <si>
    <t>兵庫県小野市</t>
  </si>
  <si>
    <t>0120-1234-5878</t>
  </si>
  <si>
    <t>本社　0120-1234-5878</t>
  </si>
  <si>
    <t>06-R-05  69811</t>
  </si>
  <si>
    <t>013420</t>
  </si>
  <si>
    <t>43T18</t>
  </si>
  <si>
    <t>未来屋書店 三木店</t>
  </si>
  <si>
    <t>1618　三木</t>
  </si>
  <si>
    <t>673-0404</t>
  </si>
  <si>
    <t>兵庫県三木市大村字砂163　イオン三木店2Ｆ</t>
  </si>
  <si>
    <t>0794-86-9511</t>
  </si>
  <si>
    <t>TEL 0794-86-9511</t>
  </si>
  <si>
    <t>0794-86-9512</t>
  </si>
  <si>
    <t>ms1618@miraiyashoten.co.jp</t>
  </si>
  <si>
    <t>06-R-53</t>
  </si>
  <si>
    <t>兵庫県三木市</t>
  </si>
  <si>
    <t>0120-1234-5879</t>
  </si>
  <si>
    <t>本社　0120-1234-5879</t>
  </si>
  <si>
    <t>06-R-53  69617</t>
  </si>
  <si>
    <t>043389</t>
  </si>
  <si>
    <t>43T35</t>
  </si>
  <si>
    <t>未来屋書店 社店</t>
  </si>
  <si>
    <t>9311　社</t>
  </si>
  <si>
    <t>673-1431</t>
  </si>
  <si>
    <t>兵庫県加東市社1126-1　イオン社店２F</t>
  </si>
  <si>
    <t>0795-40-2395</t>
  </si>
  <si>
    <t>TEL 0795-40-2395</t>
  </si>
  <si>
    <t>0795-40-2396</t>
  </si>
  <si>
    <t>ms9311@miraiyashoten.co.jp</t>
  </si>
  <si>
    <t>E12-18</t>
  </si>
  <si>
    <t>兵庫県加東市</t>
  </si>
  <si>
    <t>0120-1234-5880</t>
  </si>
  <si>
    <t>K1835-91</t>
  </si>
  <si>
    <t>E12-18  774120</t>
  </si>
  <si>
    <t>035858</t>
  </si>
  <si>
    <t>未来屋書店 山崎店</t>
  </si>
  <si>
    <t>9313　山崎</t>
  </si>
  <si>
    <t>671-2545</t>
  </si>
  <si>
    <t>兵庫県宍粟市山崎町中井字城下10　イオン山崎店３F</t>
  </si>
  <si>
    <t>0790-64-3871</t>
  </si>
  <si>
    <t>TEL 0790-64-3871</t>
  </si>
  <si>
    <t>0790-64-3872</t>
  </si>
  <si>
    <t>ms9313@miraiyashoten.co.jp</t>
  </si>
  <si>
    <t>兵庫県宍粟市</t>
  </si>
  <si>
    <t>0120-1234-5881</t>
  </si>
  <si>
    <t>K1835-93</t>
  </si>
  <si>
    <t>E12-18  775900</t>
  </si>
  <si>
    <t>035856</t>
  </si>
  <si>
    <t>未来屋書店 和田山店</t>
  </si>
  <si>
    <t>9317　和田山</t>
  </si>
  <si>
    <t>669-5215</t>
  </si>
  <si>
    <t>兵庫県朝来市和田山町枚田岡774　イオン和田山店1Ｆ</t>
  </si>
  <si>
    <t>079-670-0611</t>
  </si>
  <si>
    <t>TEL 079-670-0611</t>
  </si>
  <si>
    <t>079-670-0612</t>
  </si>
  <si>
    <t>ms9317@miraiyashoten.co.jp</t>
  </si>
  <si>
    <t>06-R-42</t>
  </si>
  <si>
    <t>兵庫県朝来市</t>
  </si>
  <si>
    <t>0120-1234-5882</t>
  </si>
  <si>
    <t>本社　0120-1234-5882</t>
  </si>
  <si>
    <t>06-R-42  69392</t>
  </si>
  <si>
    <t>042273</t>
  </si>
  <si>
    <t>43T23</t>
  </si>
  <si>
    <t>未来屋書店 氷上店</t>
  </si>
  <si>
    <t>9382　氷上</t>
  </si>
  <si>
    <t>669-3467</t>
  </si>
  <si>
    <t>兵庫県丹波市氷上町本郷300番地　ゆめタウン1F</t>
  </si>
  <si>
    <t>0795-82-8480</t>
  </si>
  <si>
    <t>TEL 0795-82-8480</t>
  </si>
  <si>
    <t>0795-82-8599</t>
  </si>
  <si>
    <t>ms9382@miraiyashoten.co.jp</t>
  </si>
  <si>
    <t>兵庫県丹波市</t>
  </si>
  <si>
    <t>0120-1234-5883</t>
  </si>
  <si>
    <t>K1835-270</t>
  </si>
  <si>
    <t>E12-10  771260</t>
  </si>
  <si>
    <t>029760</t>
  </si>
  <si>
    <t>E12</t>
  </si>
  <si>
    <t>未来屋書店 赤穂店</t>
  </si>
  <si>
    <t>2720　赤穂</t>
  </si>
  <si>
    <t>678-0232</t>
  </si>
  <si>
    <t>兵庫県赤穂市中広55-3　イオン赤穂店２F</t>
  </si>
  <si>
    <t>0791-43-7174</t>
  </si>
  <si>
    <t>TEL 0791-43-7174</t>
  </si>
  <si>
    <t>0791-46-4880</t>
  </si>
  <si>
    <t>ms2720@miraiyashoten.co.jp</t>
  </si>
  <si>
    <t>兵庫県赤穂市</t>
  </si>
  <si>
    <t>0120-1234-5884</t>
  </si>
  <si>
    <t>K1835-98</t>
  </si>
  <si>
    <t>E12-10  779850</t>
  </si>
  <si>
    <t>033606</t>
  </si>
  <si>
    <t>未来屋書店 姫路大津店</t>
  </si>
  <si>
    <t>8920　姫路大津</t>
  </si>
  <si>
    <t>671-1146</t>
  </si>
  <si>
    <t>兵庫県姫路市大津区大津町2-5　イオンモール姫路大津2F</t>
  </si>
  <si>
    <t>079-230-0023</t>
  </si>
  <si>
    <t>TEL 079-230-0023</t>
  </si>
  <si>
    <t>079-230-0028</t>
  </si>
  <si>
    <t>ms8920@miraiyashoten.co.jp</t>
  </si>
  <si>
    <t>E14-18</t>
  </si>
  <si>
    <t>兵庫県姫路市</t>
  </si>
  <si>
    <t>0120-1234-5885</t>
  </si>
  <si>
    <t>K1835-96</t>
  </si>
  <si>
    <t>E14-18  777270</t>
  </si>
  <si>
    <t>037960</t>
  </si>
  <si>
    <t>1/7客注番線差し替え</t>
  </si>
  <si>
    <t>姫路リバーシティー</t>
  </si>
  <si>
    <t>未来屋書店 姫路リバーシティー店</t>
  </si>
  <si>
    <t>9306　姫路リバーシティー</t>
  </si>
  <si>
    <t>672-8064</t>
  </si>
  <si>
    <t>兵庫県姫路市飾磨区細江2560番地　イオンモール姫路リバーシティ３F</t>
  </si>
  <si>
    <t>079-243-0886</t>
  </si>
  <si>
    <t>TEL 079-243-0886</t>
  </si>
  <si>
    <t>079-243-0887</t>
  </si>
  <si>
    <t>ms9306@miraiyashoten.co.jp</t>
  </si>
  <si>
    <t>04-R-29</t>
  </si>
  <si>
    <t>0120-1234-5886</t>
  </si>
  <si>
    <t>本社　0120-1234-5886</t>
  </si>
  <si>
    <t>04-R-29  69408</t>
  </si>
  <si>
    <t>035679</t>
  </si>
  <si>
    <t>43T44</t>
  </si>
  <si>
    <t>未来屋書店 加西北条店</t>
  </si>
  <si>
    <t>3483　加西北条</t>
  </si>
  <si>
    <t>675-2312</t>
  </si>
  <si>
    <t>兵庫県加西市北条町北条308-1　イオンモール加西北条2Ｆ</t>
  </si>
  <si>
    <t>0790-43-8581</t>
  </si>
  <si>
    <t>TEL 0790-43-8581</t>
  </si>
  <si>
    <t>0790-43-8582</t>
  </si>
  <si>
    <t>ms3483@miraiyashoten.co.jp</t>
  </si>
  <si>
    <t>08-R-32</t>
  </si>
  <si>
    <t>兵庫県加西市</t>
  </si>
  <si>
    <t>0120-1234-5887</t>
  </si>
  <si>
    <t>本社　0120-1234-5887</t>
  </si>
  <si>
    <t>08-R-32  69885</t>
  </si>
  <si>
    <t>041416</t>
  </si>
  <si>
    <t>43T67</t>
  </si>
  <si>
    <t>未来屋書店 アスパ高砂店</t>
  </si>
  <si>
    <t>9320　アスパ高砂</t>
  </si>
  <si>
    <t>676-0019</t>
  </si>
  <si>
    <t>兵庫県高砂市緑丘2－1－40　アスパ高砂2Ｆ</t>
  </si>
  <si>
    <t>079-445-4501</t>
  </si>
  <si>
    <t>TEL 079-445-4501</t>
  </si>
  <si>
    <t>079-445-4502</t>
  </si>
  <si>
    <t>ms9320@miraiyashoten.co.jp</t>
  </si>
  <si>
    <t>E13-11</t>
  </si>
  <si>
    <t>兵庫県高砂市</t>
  </si>
  <si>
    <t>0120-1234-5888</t>
  </si>
  <si>
    <t>K1835-118</t>
  </si>
  <si>
    <t>E13-11  775310</t>
  </si>
  <si>
    <t>041145</t>
  </si>
  <si>
    <t>未来屋書店 加古川店</t>
  </si>
  <si>
    <t>9352　加古川</t>
  </si>
  <si>
    <t>675-0101</t>
  </si>
  <si>
    <t>兵庫県加古川市平岡町新在家615-1　イオン加古川店3Ｆ</t>
  </si>
  <si>
    <t>079-456-1125</t>
  </si>
  <si>
    <t>TEL 079-456-1125</t>
  </si>
  <si>
    <t>079-456-1126</t>
  </si>
  <si>
    <t>ms9352@miraiyashoten.co.jp</t>
  </si>
  <si>
    <t>兵庫県加古川市</t>
  </si>
  <si>
    <t>0120-1234-5889</t>
  </si>
  <si>
    <t>K1835-167</t>
  </si>
  <si>
    <t>E13-11  777520</t>
  </si>
  <si>
    <t>042278</t>
  </si>
  <si>
    <t>未来屋書店 岡山店</t>
  </si>
  <si>
    <t>5545　岡山</t>
  </si>
  <si>
    <t>700-0907</t>
  </si>
  <si>
    <t>岡山県岡山市北区下石井1丁目2番1号-5025　イオンモール岡山5Ｆ</t>
  </si>
  <si>
    <t>086-803-5571</t>
  </si>
  <si>
    <t>TEL 086-803-5571</t>
  </si>
  <si>
    <t>086-803-5572</t>
  </si>
  <si>
    <t>ms5545@miraiyashoten.co.jp</t>
  </si>
  <si>
    <t>A80-35</t>
  </si>
  <si>
    <t>岡山県岡山市</t>
  </si>
  <si>
    <t>0120-1234-5890</t>
  </si>
  <si>
    <t>K1835-277</t>
  </si>
  <si>
    <t>A80-35  811660</t>
  </si>
  <si>
    <t>044678</t>
  </si>
  <si>
    <t>未来屋書店 綾川店</t>
  </si>
  <si>
    <t>5760　綾川</t>
  </si>
  <si>
    <t>761-2304</t>
  </si>
  <si>
    <t>香川県綾歌郡綾川町萱原822-1　イオンモール綾川2F</t>
  </si>
  <si>
    <t>087-876-6008</t>
  </si>
  <si>
    <t>TEL 087-876-6008</t>
  </si>
  <si>
    <t>087-876-6011</t>
  </si>
  <si>
    <t>ms5760@miraiyashoten.co.jp</t>
  </si>
  <si>
    <t>06-R-51</t>
  </si>
  <si>
    <t>香川県綾歌郡</t>
  </si>
  <si>
    <t>岡山四国支店</t>
  </si>
  <si>
    <t>0120-1234-5891</t>
  </si>
  <si>
    <t>087-862-2052</t>
  </si>
  <si>
    <t>トーハン岡山四国支店注文ＦＡＸ番号【　０８７－８６２－２０５２　】</t>
  </si>
  <si>
    <t>岡山四国支店　0120-1234-5891</t>
  </si>
  <si>
    <t>06-R-51  76153</t>
  </si>
  <si>
    <t>041230</t>
  </si>
  <si>
    <t>43T34</t>
  </si>
  <si>
    <t>未来屋書店 徳島店</t>
  </si>
  <si>
    <t>12789　徳島</t>
  </si>
  <si>
    <t>770-0865</t>
  </si>
  <si>
    <t>徳島県徳島市南末広町4番1号 イオンモール徳島3Ｆ</t>
  </si>
  <si>
    <t>088-676-2775</t>
  </si>
  <si>
    <t>TEL 088-676-2775</t>
  </si>
  <si>
    <t>088-676-2776</t>
  </si>
  <si>
    <t>ms12789@miraiyashoten.co.jp</t>
  </si>
  <si>
    <t>A72-55</t>
  </si>
  <si>
    <t>徳島県徳島市</t>
  </si>
  <si>
    <t>0120-1234-5892</t>
  </si>
  <si>
    <t>K1835-301</t>
  </si>
  <si>
    <t>A72-55  861230</t>
  </si>
  <si>
    <t>045909</t>
  </si>
  <si>
    <t>未来屋書店 塚口店</t>
  </si>
  <si>
    <t>8767　塚口</t>
  </si>
  <si>
    <t>661-0012</t>
  </si>
  <si>
    <t>兵庫県尼崎市南塚口町2-1-3 ダイエー塚口店1番館4F</t>
  </si>
  <si>
    <t>06-6420-8141</t>
  </si>
  <si>
    <t>TEL 06-6420-8141</t>
  </si>
  <si>
    <t>兼06-6420-8141</t>
  </si>
  <si>
    <t>ms8767@miraiyashoten.co.jp</t>
  </si>
  <si>
    <t>08-R-33</t>
  </si>
  <si>
    <t>08-R-33  69714</t>
  </si>
  <si>
    <t>043225</t>
  </si>
  <si>
    <t>44T36</t>
  </si>
  <si>
    <t>未来屋書店 アルパーク店</t>
  </si>
  <si>
    <t>15624　アルパーク</t>
  </si>
  <si>
    <t>733-0841</t>
  </si>
  <si>
    <t>広島県広島市西区井口明神１丁目１６−１　アルパーク西棟4F</t>
  </si>
  <si>
    <t>082-942-3580</t>
  </si>
  <si>
    <t>TEL 082-942-3580</t>
  </si>
  <si>
    <t>ms15624@miraiyashoten.co.jp</t>
  </si>
  <si>
    <t>08-R09</t>
  </si>
  <si>
    <t>広島県広島市</t>
  </si>
  <si>
    <t>広島支店</t>
  </si>
  <si>
    <t>0120-1234-5894</t>
  </si>
  <si>
    <t>082-544-5025</t>
  </si>
  <si>
    <t>トーハン広島支店注文ＦＡＸ番号【　０８２－５４４－５０２５　】</t>
  </si>
  <si>
    <t>広島支店　0120-1234-5894</t>
  </si>
  <si>
    <t>08-R09  71389</t>
  </si>
  <si>
    <t>047362</t>
  </si>
  <si>
    <t>43T32</t>
  </si>
  <si>
    <t>未来屋書店 宇品店</t>
  </si>
  <si>
    <t>8926　宇品</t>
  </si>
  <si>
    <t>734-0003</t>
  </si>
  <si>
    <t>広島県広島市南区宇品東6-1-15　イオン宇品SC2F</t>
  </si>
  <si>
    <t>082-250-8335</t>
  </si>
  <si>
    <t>TEL 082-250-8335</t>
  </si>
  <si>
    <t>082-250-8336</t>
  </si>
  <si>
    <t>ms8926@miraiyashoten.co.jp</t>
  </si>
  <si>
    <t>08-R-44</t>
  </si>
  <si>
    <t>08-R-44  71175</t>
  </si>
  <si>
    <t>037368</t>
  </si>
  <si>
    <t>43T07</t>
  </si>
  <si>
    <t>未来屋書店 明石店</t>
  </si>
  <si>
    <t>8955　明石</t>
  </si>
  <si>
    <t>674-0068</t>
  </si>
  <si>
    <t>兵庫県明石市大久保町ゆりのき通り2丁目3-1　イオン明石店2番街2F</t>
  </si>
  <si>
    <t>078-938-3391</t>
  </si>
  <si>
    <t>TEL 078-938-3391</t>
  </si>
  <si>
    <t>078-938-3392</t>
  </si>
  <si>
    <t>ms8955@miraiyashoten.co.jp</t>
  </si>
  <si>
    <t>02-R-33</t>
  </si>
  <si>
    <t>兵庫県明石市</t>
  </si>
  <si>
    <t>0120-1234-5895</t>
  </si>
  <si>
    <t>本社　0120-1234-5895</t>
  </si>
  <si>
    <t>02-R-33  69802</t>
  </si>
  <si>
    <t>043196</t>
  </si>
  <si>
    <t>43T58</t>
  </si>
  <si>
    <t>未来屋書店 伊丹昆陽店</t>
  </si>
  <si>
    <t>8987　伊丹昆陽</t>
  </si>
  <si>
    <t>664-0027</t>
  </si>
  <si>
    <t>兵庫県伊丹市池尻4丁目1番1　イオンモール伊丹昆陽4F</t>
  </si>
  <si>
    <t>072-787-8805</t>
  </si>
  <si>
    <t>TEL 072-787-8805</t>
  </si>
  <si>
    <t>072-787-8809</t>
  </si>
  <si>
    <t>ms8987@miraiyashoten.co.jp</t>
  </si>
  <si>
    <t>E13-28</t>
  </si>
  <si>
    <t>兵庫県伊丹市</t>
  </si>
  <si>
    <t>0120-1234-5896</t>
  </si>
  <si>
    <t>K1835-184</t>
  </si>
  <si>
    <t>E13-28  772510</t>
  </si>
  <si>
    <t>043203</t>
  </si>
  <si>
    <t>未来屋書店 伊丹店</t>
  </si>
  <si>
    <t>9356　伊丹</t>
  </si>
  <si>
    <t>664-0847</t>
  </si>
  <si>
    <t>兵庫県伊丹市藤ノ木1-1-1-2041　　イオンモール伊丹２Ｆ</t>
  </si>
  <si>
    <t>072-777-6440</t>
  </si>
  <si>
    <t>TEL 072-777-6440</t>
  </si>
  <si>
    <t>072-777-6420</t>
  </si>
  <si>
    <t>ms9356@miraiyashoten.co.jp</t>
  </si>
  <si>
    <t>0120-1234-5897</t>
  </si>
  <si>
    <t>K1835-97</t>
  </si>
  <si>
    <t>E13-28  778900</t>
  </si>
  <si>
    <t>036255</t>
  </si>
  <si>
    <t>未来屋書店 東山店</t>
  </si>
  <si>
    <t>9366　東山</t>
  </si>
  <si>
    <t>672-8014</t>
  </si>
  <si>
    <t>兵庫県姫路市東山181-1</t>
  </si>
  <si>
    <t>079-245-8558</t>
  </si>
  <si>
    <t>TEL 079-245-8558</t>
  </si>
  <si>
    <t>079-245-8644</t>
  </si>
  <si>
    <t>ms9366@miraiyashoten.co.jp</t>
  </si>
  <si>
    <t>E12-13</t>
  </si>
  <si>
    <t>0120-1234-5898</t>
  </si>
  <si>
    <t>K1835-94</t>
  </si>
  <si>
    <t>E12-13  777150</t>
  </si>
  <si>
    <t>028776</t>
  </si>
  <si>
    <t>未来屋書店 土山店</t>
  </si>
  <si>
    <t>9369　土山</t>
  </si>
  <si>
    <t>674-0074</t>
  </si>
  <si>
    <t>兵庫県明石市魚住町清水字舞々2208－1　イオン土山店3Ｆ</t>
  </si>
  <si>
    <t>078-942-1613</t>
  </si>
  <si>
    <t>TEL 078-942-1613</t>
  </si>
  <si>
    <t>078-942-1614</t>
  </si>
  <si>
    <t>ms9369@miraiyashoten.co.jp</t>
  </si>
  <si>
    <t>E13-24</t>
  </si>
  <si>
    <t>0120-1234-5899</t>
  </si>
  <si>
    <t>K1835-240</t>
  </si>
  <si>
    <t>E13-24  775130</t>
  </si>
  <si>
    <t>043861</t>
  </si>
  <si>
    <t>未来屋書店 高知店</t>
  </si>
  <si>
    <t>72246　高知</t>
  </si>
  <si>
    <t>780-0026</t>
  </si>
  <si>
    <t>高知県高知市秦南町1-4-8 イオンモール高知2F</t>
  </si>
  <si>
    <t>088-856-5107</t>
  </si>
  <si>
    <t>TEL 088-856-5107</t>
  </si>
  <si>
    <t>088-856-5108</t>
  </si>
  <si>
    <t>ms72246@miraiyashoten.co.jp</t>
  </si>
  <si>
    <t>09-R-81</t>
  </si>
  <si>
    <t>高知県高知市</t>
  </si>
  <si>
    <t>0120-1234-5900</t>
  </si>
  <si>
    <t>岡山四国支店　0120-1234-5900</t>
  </si>
  <si>
    <t>09-R-81  77083</t>
  </si>
  <si>
    <t>047037</t>
  </si>
  <si>
    <t>43T72</t>
  </si>
  <si>
    <t>390313</t>
  </si>
  <si>
    <t>未来屋書店 防府店</t>
  </si>
  <si>
    <t>729　防府</t>
  </si>
  <si>
    <t>747-0802</t>
  </si>
  <si>
    <t>12九州</t>
  </si>
  <si>
    <t>山口県防府市中央町1-3　イオン防府店3F</t>
  </si>
  <si>
    <t>0835-26-6020</t>
  </si>
  <si>
    <t>TEL 0835-26-6020</t>
  </si>
  <si>
    <t>0835-26-6023</t>
  </si>
  <si>
    <t>ms729@miraiyashoten.co.jp</t>
  </si>
  <si>
    <t>06-R-23</t>
  </si>
  <si>
    <t>山口県防府市</t>
  </si>
  <si>
    <t>九州支店</t>
  </si>
  <si>
    <t>0120-1234-5901</t>
  </si>
  <si>
    <t>092-687-4860</t>
  </si>
  <si>
    <t>トーハン九州支店注文ＦＡＸ番号【　０９２－６８７－４８６０　】</t>
  </si>
  <si>
    <t>九州支店　0120-1234-5901</t>
  </si>
  <si>
    <t>06-R-23  75167</t>
  </si>
  <si>
    <t>031598</t>
  </si>
  <si>
    <t>43T62</t>
  </si>
  <si>
    <t>未来屋書店 姶良店</t>
  </si>
  <si>
    <t>1630　姶良</t>
  </si>
  <si>
    <t>899-5431</t>
  </si>
  <si>
    <t>鹿児島県姶良市西餅田264-1　イオンタウン姶良3Ｆ</t>
  </si>
  <si>
    <t>0995-67-7201</t>
  </si>
  <si>
    <t>TEL 0995-67-7201</t>
  </si>
  <si>
    <t>0995-67-7202</t>
  </si>
  <si>
    <t>ms1630@miraiyashoten.co.jp</t>
  </si>
  <si>
    <t>06-R-04</t>
  </si>
  <si>
    <t>鹿児島県姶良市</t>
  </si>
  <si>
    <t>0120-1234-5902</t>
  </si>
  <si>
    <t>九州支店　0120-1234-5902</t>
  </si>
  <si>
    <t>06-R-04  85054</t>
  </si>
  <si>
    <t>045416</t>
  </si>
  <si>
    <t>43T36</t>
  </si>
  <si>
    <t>きんぶん九州</t>
  </si>
  <si>
    <t>未来屋書店 福津店</t>
  </si>
  <si>
    <t>1653　福津</t>
  </si>
  <si>
    <t>811-3209</t>
  </si>
  <si>
    <t>福岡県福津市日蒔野6丁目16番地の1　イオンモール福津1Ｆ</t>
  </si>
  <si>
    <t>0940-38-5052</t>
  </si>
  <si>
    <t>TEL 0940-38-5052</t>
  </si>
  <si>
    <t>0940-38-5053</t>
  </si>
  <si>
    <t>ms1653@miraiyashoten.co.jp</t>
  </si>
  <si>
    <t>D55-17</t>
  </si>
  <si>
    <t>福岡県福津市</t>
  </si>
  <si>
    <t>0120-1234-5903</t>
  </si>
  <si>
    <t>K1835-234</t>
  </si>
  <si>
    <t>D55-17  914610</t>
  </si>
  <si>
    <t>043583</t>
  </si>
  <si>
    <t>未来屋書店 岡垣店</t>
  </si>
  <si>
    <t>2744　岡垣</t>
  </si>
  <si>
    <t>811-4212</t>
  </si>
  <si>
    <t>福岡県遠賀郡岡垣町大字黒山338-1　イオン岡垣1Ｆ</t>
  </si>
  <si>
    <t>093-281-3115</t>
  </si>
  <si>
    <t>TEL 093-281-3115</t>
  </si>
  <si>
    <t>093-281-3116</t>
  </si>
  <si>
    <t>ms2744@miraiyashoten.co.jp</t>
  </si>
  <si>
    <t>D28-44</t>
  </si>
  <si>
    <t>福岡県遠賀郡</t>
  </si>
  <si>
    <t>0120-1234-5904</t>
  </si>
  <si>
    <t>K1835-108</t>
  </si>
  <si>
    <t>D28-44  917300</t>
  </si>
  <si>
    <t>040322</t>
  </si>
  <si>
    <t>未来屋書店 直方店</t>
  </si>
  <si>
    <t>9318　直方</t>
  </si>
  <si>
    <t>822-0008</t>
  </si>
  <si>
    <t>福岡県直方市湯野原2丁目1番1号　イオンモール直方２F</t>
  </si>
  <si>
    <t>0949-29-2280</t>
  </si>
  <si>
    <t>TEL 0949-29-2280</t>
  </si>
  <si>
    <t>0949-29-2281</t>
  </si>
  <si>
    <t>ms9318@miraiyashoten.co.jp</t>
  </si>
  <si>
    <t>E26-38</t>
  </si>
  <si>
    <t>福岡県直方市</t>
  </si>
  <si>
    <t>0120-1234-5905</t>
  </si>
  <si>
    <t>K1835-105</t>
  </si>
  <si>
    <t>E26-38  914300</t>
  </si>
  <si>
    <t>038254</t>
  </si>
  <si>
    <t>未来屋書店 大野城店</t>
  </si>
  <si>
    <t>3478　大野城</t>
  </si>
  <si>
    <t>816-0935</t>
  </si>
  <si>
    <t>福岡県大野城市錦町4丁目1番1号　イオン大野城店3F</t>
  </si>
  <si>
    <t>092-558-9098</t>
  </si>
  <si>
    <t>TEL 092-558-9098</t>
  </si>
  <si>
    <t>092-558-9103</t>
  </si>
  <si>
    <t>ms3478@miraiyashoten.co.jp</t>
  </si>
  <si>
    <t>06-R-14</t>
  </si>
  <si>
    <t>福岡県大野城市</t>
  </si>
  <si>
    <t>0120-1234-5906</t>
  </si>
  <si>
    <t>九州支店　0120-1234-5906</t>
  </si>
  <si>
    <t>06-R-14  80230</t>
  </si>
  <si>
    <t>043249</t>
  </si>
  <si>
    <t>43T66</t>
  </si>
  <si>
    <t>未来屋書店 小郡店</t>
  </si>
  <si>
    <t>3496　小郡</t>
  </si>
  <si>
    <t>838-0115</t>
  </si>
  <si>
    <t>福岡県小郡市大保字弓場110　イオン小郡SC内</t>
  </si>
  <si>
    <t>0942-41-7075</t>
  </si>
  <si>
    <t>TEL 0942-41-7075</t>
  </si>
  <si>
    <t>0942-41-7076</t>
  </si>
  <si>
    <t>ms3496@miraiyashoten.co.jp</t>
  </si>
  <si>
    <t>D28-13</t>
  </si>
  <si>
    <t>福岡県小郡市</t>
  </si>
  <si>
    <t>0120-1234-5907</t>
  </si>
  <si>
    <t>K1835-253</t>
  </si>
  <si>
    <t>D28-13  915610</t>
  </si>
  <si>
    <t>044315</t>
  </si>
  <si>
    <t>未来屋書店 黒崎店</t>
  </si>
  <si>
    <t>5543　黒崎</t>
  </si>
  <si>
    <t>806-0036</t>
  </si>
  <si>
    <t>福岡県北九州市八幡西区西曲里町3-1　イオンタウン黒崎2Ｆ</t>
  </si>
  <si>
    <t>093-644-0210</t>
  </si>
  <si>
    <t>TEL 093-644-0210</t>
  </si>
  <si>
    <t>093-644-0211</t>
  </si>
  <si>
    <t>ms5543@miraiyashoten.co.jp</t>
  </si>
  <si>
    <t>09-R-27</t>
  </si>
  <si>
    <t>福岡県北九州市</t>
  </si>
  <si>
    <t>0120-1234-5908</t>
  </si>
  <si>
    <t>九州支店　0120-1234-5908</t>
  </si>
  <si>
    <t>09-R-27  80223</t>
  </si>
  <si>
    <t>044625</t>
  </si>
  <si>
    <t>43T17</t>
  </si>
  <si>
    <t>未来屋書店 大牟田店</t>
  </si>
  <si>
    <t>8964　大牟田</t>
  </si>
  <si>
    <t>836-0037</t>
  </si>
  <si>
    <t>福岡県大牟田市岬町3番4　イオンモール大牟田2F</t>
  </si>
  <si>
    <t>0944-41-0560</t>
  </si>
  <si>
    <t>TEL 0944-41-0560</t>
  </si>
  <si>
    <t>0944-41-0565</t>
  </si>
  <si>
    <t>ms8964@miraiyashoten.co.jp</t>
  </si>
  <si>
    <t>D26-23</t>
  </si>
  <si>
    <t>福岡県大牟田市</t>
  </si>
  <si>
    <t>0120-1234-5909</t>
  </si>
  <si>
    <t>K1835-186</t>
  </si>
  <si>
    <t>D26-23  919140</t>
  </si>
  <si>
    <t>043204</t>
  </si>
  <si>
    <t>未来屋書店 大木店</t>
  </si>
  <si>
    <t>9363　大木</t>
  </si>
  <si>
    <t>830-0411</t>
  </si>
  <si>
    <t>福岡県三潴郡大木町大字蛭池1200番地　イオン大木ＳＣ内</t>
  </si>
  <si>
    <t>0944-75-2201</t>
  </si>
  <si>
    <t>TEL 0944-75-2201</t>
  </si>
  <si>
    <t>0944-75-2202</t>
  </si>
  <si>
    <t>ms9363@miraiyashoten.co.jp</t>
  </si>
  <si>
    <t>D55-14</t>
  </si>
  <si>
    <t>福岡県三潴郡</t>
  </si>
  <si>
    <t>0120-1234-5910</t>
  </si>
  <si>
    <t>K1835-182</t>
  </si>
  <si>
    <t>D55-14  911300</t>
  </si>
  <si>
    <t>043146</t>
  </si>
  <si>
    <t>未来屋書店 沖縄ライカム店</t>
  </si>
  <si>
    <t>5752　沖縄ライカム</t>
  </si>
  <si>
    <t>901-2306</t>
  </si>
  <si>
    <t>沖縄県中頭郡北中城村字ライカム１番地　イオンモール沖縄ライカム１Ｆ</t>
  </si>
  <si>
    <t>098-931-9370</t>
  </si>
  <si>
    <t>TEL 098-931-9370</t>
  </si>
  <si>
    <t>098-931-9371</t>
  </si>
  <si>
    <t>ms5752@miraiyashoten.co.jp</t>
  </si>
  <si>
    <t>沖縄県中頭郡</t>
  </si>
  <si>
    <t>0120-1234-5911</t>
  </si>
  <si>
    <t>K1835-282</t>
  </si>
  <si>
    <t>D38-35  998560</t>
  </si>
  <si>
    <t>044793</t>
  </si>
  <si>
    <t>未来屋書店 鹿児島店</t>
  </si>
  <si>
    <t>5775　鹿児島</t>
  </si>
  <si>
    <t>891-0115</t>
  </si>
  <si>
    <t>鹿児島県鹿児島市東開町７番　イオンモール鹿児島2Ｆ</t>
  </si>
  <si>
    <t>099-210-3121</t>
  </si>
  <si>
    <t>TEL 099-210-3121</t>
  </si>
  <si>
    <t>099-210-3122</t>
  </si>
  <si>
    <t>ms5775@miraiyashoten.co.jp</t>
  </si>
  <si>
    <t>07-R-44</t>
  </si>
  <si>
    <t>鹿児島県鹿児島市</t>
  </si>
  <si>
    <t>0120-1234-5912</t>
  </si>
  <si>
    <t>九州支店　0120-1234-5912</t>
  </si>
  <si>
    <t>07-R-44  85043</t>
  </si>
  <si>
    <t>044313</t>
  </si>
  <si>
    <t>44T41</t>
  </si>
  <si>
    <t>アシーネ 鹿児島</t>
  </si>
  <si>
    <t xml:space="preserve"> アシーネ 鹿児島店</t>
  </si>
  <si>
    <t>8423　アシーネ鹿児島</t>
  </si>
  <si>
    <t>890-0063</t>
  </si>
  <si>
    <t>鹿児島県鹿児島市鴨池2-26-30 イオン鹿児島鴨池店2F</t>
  </si>
  <si>
    <t>099-213-4011</t>
  </si>
  <si>
    <t>TEL 099-213-4011</t>
  </si>
  <si>
    <t>兼099-213-4011</t>
  </si>
  <si>
    <t>ms8423@miraiyashoten.co.jp</t>
  </si>
  <si>
    <t>09-R-56</t>
  </si>
  <si>
    <t>0120-1234-5913</t>
  </si>
  <si>
    <t>九州支店　0120-1234-5913</t>
  </si>
  <si>
    <t>09-R-56  85048</t>
  </si>
  <si>
    <t>039648</t>
  </si>
  <si>
    <t>43T60</t>
  </si>
  <si>
    <t>アシーネ マリナタウン</t>
  </si>
  <si>
    <t xml:space="preserve"> アシーネ マリナタウン店</t>
  </si>
  <si>
    <t>8539　アシーネ マリナタウン</t>
  </si>
  <si>
    <t>819-0014</t>
  </si>
  <si>
    <t>福岡県福岡市西区豊浜3-1-10 イオンマリナタウン店2F</t>
  </si>
  <si>
    <t>092-894-3033</t>
  </si>
  <si>
    <t>TEL 092-894-3033</t>
  </si>
  <si>
    <t>兼092-894-3033</t>
  </si>
  <si>
    <t>ms8539@miraiyashoten.co.jp</t>
  </si>
  <si>
    <t>10-R-03</t>
  </si>
  <si>
    <t>福岡県福岡市</t>
  </si>
  <si>
    <t>0120-1234-5914</t>
  </si>
  <si>
    <t>九州支店　0120-1234-5914</t>
  </si>
  <si>
    <t>10-R-03  81686</t>
  </si>
  <si>
    <t>032403</t>
  </si>
  <si>
    <t>44T39</t>
  </si>
  <si>
    <t>未来屋書店 福岡伊都店</t>
  </si>
  <si>
    <t>8984　福岡伊都</t>
  </si>
  <si>
    <t>819-0379</t>
  </si>
  <si>
    <t>福岡県福岡市西区北原1-2-1　イオンモール福岡伊都3Ｆ</t>
  </si>
  <si>
    <t>092-805-8787</t>
  </si>
  <si>
    <t>TEL 092-805-8787</t>
  </si>
  <si>
    <t>092-805-8786</t>
  </si>
  <si>
    <t>ms8984@miraiyashoten.co.jp</t>
  </si>
  <si>
    <t>D56-07</t>
  </si>
  <si>
    <t>0120-1234-5915</t>
  </si>
  <si>
    <t>K1835-104</t>
  </si>
  <si>
    <t>D56-07  912880</t>
  </si>
  <si>
    <t>039091</t>
  </si>
  <si>
    <t>笹丘</t>
  </si>
  <si>
    <t>未来屋書店 笹丘店</t>
  </si>
  <si>
    <t>8634　笹丘</t>
  </si>
  <si>
    <t>810-0034</t>
  </si>
  <si>
    <t>福岡県福岡市中央区笹丘1-28-74 イオンスタイル笹丘1F</t>
  </si>
  <si>
    <t>092-738-1070</t>
  </si>
  <si>
    <t>TEL 092-738-1070</t>
  </si>
  <si>
    <t>兼092-738-1070</t>
  </si>
  <si>
    <t>ms8634@miraiyashoten.co.jp</t>
  </si>
  <si>
    <t>01-R-11</t>
  </si>
  <si>
    <t>0120-1234-5916</t>
  </si>
  <si>
    <t>九州支店　0120-1234-5916</t>
  </si>
  <si>
    <t>01-R-11  81660</t>
  </si>
  <si>
    <t>027245</t>
  </si>
  <si>
    <t>44T38</t>
  </si>
  <si>
    <t>未来屋書店 香椎浜店</t>
  </si>
  <si>
    <t>9330　香椎浜</t>
  </si>
  <si>
    <t>813-0016</t>
  </si>
  <si>
    <t>福岡県福岡市東区香椎浜3-12-1　イオンモール香椎浜1Ｆ</t>
  </si>
  <si>
    <t>092-673-6374</t>
  </si>
  <si>
    <t>TEL 092-673-6374</t>
  </si>
  <si>
    <t>092-673-6375</t>
  </si>
  <si>
    <t>ms9330@miraiyashoten.co.jp</t>
  </si>
  <si>
    <t>0120-1234-5917</t>
  </si>
  <si>
    <t>K1835-103</t>
  </si>
  <si>
    <t>E26-38  911140</t>
  </si>
  <si>
    <t>037138</t>
  </si>
  <si>
    <t>未来屋書店 八幡東店</t>
  </si>
  <si>
    <t>8908　八幡東</t>
  </si>
  <si>
    <t>805-0071</t>
  </si>
  <si>
    <t>福岡県北九州市八幡東区東田3-2-102　イオンモール八幡東1Ｆ</t>
  </si>
  <si>
    <t>093-663-1377</t>
  </si>
  <si>
    <t>TEL 093-663-1377</t>
  </si>
  <si>
    <t>093-663-1378</t>
  </si>
  <si>
    <t>ms8908@miraiyashoten.co.jp</t>
  </si>
  <si>
    <t>06-R-45</t>
  </si>
  <si>
    <t>0120-1234-5918</t>
  </si>
  <si>
    <t>九州支店　0120-1234-5918</t>
  </si>
  <si>
    <t>06-R-45  80217</t>
  </si>
  <si>
    <t>041238</t>
  </si>
  <si>
    <t>43T11</t>
  </si>
  <si>
    <t>未来屋書店 戸畑店</t>
  </si>
  <si>
    <t>8977　戸畑</t>
  </si>
  <si>
    <t>804-0067</t>
  </si>
  <si>
    <t>福岡県北九州市戸畑区汐井町2-2　イオン戸畑SC2F</t>
  </si>
  <si>
    <t>093-881-3377</t>
  </si>
  <si>
    <t>TEL 093-881-3377</t>
  </si>
  <si>
    <t>093-881-3331</t>
  </si>
  <si>
    <t>ms8977@miraiyashoten.co.jp</t>
  </si>
  <si>
    <t>D27-03</t>
  </si>
  <si>
    <t>0120-1234-5919</t>
  </si>
  <si>
    <t>K1835-180</t>
  </si>
  <si>
    <t>D27-03  916340</t>
  </si>
  <si>
    <t>042953</t>
  </si>
  <si>
    <t>未来屋書店 三光店</t>
  </si>
  <si>
    <t>9322　三光</t>
  </si>
  <si>
    <t>871-0111</t>
  </si>
  <si>
    <t>大分県中津市三光佐知1032　イオンモール三光1F</t>
  </si>
  <si>
    <t>0979-27-7822</t>
  </si>
  <si>
    <t>TEL 0979-27-7822</t>
  </si>
  <si>
    <t>0979-27-7823</t>
  </si>
  <si>
    <t>ms9322@miraiyashoten.co.jp</t>
  </si>
  <si>
    <t>D10-09</t>
  </si>
  <si>
    <t>大分県中津市</t>
  </si>
  <si>
    <t>0120-1234-5920</t>
  </si>
  <si>
    <t>K1835-170</t>
  </si>
  <si>
    <t>D10-09  961580</t>
  </si>
  <si>
    <t>042636</t>
  </si>
  <si>
    <t>未来屋書店 とよみ店</t>
  </si>
  <si>
    <t>12111　とよみ</t>
  </si>
  <si>
    <t>901-0205</t>
  </si>
  <si>
    <t>沖縄県豊見城市字根差部710　イオンタウンとよみSC内</t>
  </si>
  <si>
    <t>098-852-2011</t>
  </si>
  <si>
    <t>TEL 098-852-2011</t>
  </si>
  <si>
    <t>098-852-2013</t>
  </si>
  <si>
    <t>ms12111@miraiyashoten.co.jp</t>
  </si>
  <si>
    <t>D63-64</t>
  </si>
  <si>
    <t>沖縄県豊見城市</t>
  </si>
  <si>
    <t>0120-1234-5921</t>
  </si>
  <si>
    <t>K1835-292</t>
  </si>
  <si>
    <t>D63-64  997720</t>
  </si>
  <si>
    <t>045631</t>
  </si>
  <si>
    <t>未来屋書店 宮崎店</t>
  </si>
  <si>
    <t>32766　宮崎</t>
  </si>
  <si>
    <t>880-0834</t>
  </si>
  <si>
    <t>宮崎県宮崎市新別府町江口862-1　イオンモール宮崎サウスモール2F</t>
  </si>
  <si>
    <t>0985-77-7507</t>
  </si>
  <si>
    <t>TEL 0985-77-7507</t>
  </si>
  <si>
    <t>0985-77-7508</t>
  </si>
  <si>
    <t>ms32766@miraiyashoten.co.jp</t>
  </si>
  <si>
    <t>11-R-67</t>
  </si>
  <si>
    <t>宮崎県宮崎市</t>
  </si>
  <si>
    <t>0120-1234-5922</t>
  </si>
  <si>
    <t>九州支店　0120-1234-5922</t>
  </si>
  <si>
    <t>11-R-67  86276</t>
  </si>
  <si>
    <t>046124</t>
  </si>
  <si>
    <t>44T42</t>
  </si>
  <si>
    <t>■対応済み</t>
  </si>
  <si>
    <t>レイクタウン：店コード変更</t>
  </si>
  <si>
    <t>天王町：追加</t>
  </si>
  <si>
    <t>アルパーク：追加</t>
  </si>
  <si>
    <t>日販加盟店コード修正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</si>
</sst>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0000"/>
    <numFmt numFmtId="177" formatCode="yy/mm/dd"/>
    <numFmt numFmtId="178" formatCode="#"/>
  </numFmts>
  <fonts count="30">
    <font>
      <sz val="10"/>
      <name val="Arial"/>
    </font>
    <font>
      <sz val="10"/>
      <name val="Arial"/>
      <family val="2"/>
    </font>
    <font>
      <sz val="10"/>
      <name val="Meiryo UI"/>
      <family val="3"/>
      <charset val="128"/>
    </font>
    <font>
      <b/>
      <sz val="22"/>
      <name val="Meiryo UI"/>
      <family val="3"/>
      <charset val="128"/>
    </font>
    <font>
      <b/>
      <sz val="18"/>
      <name val="Meiryo UI"/>
      <family val="3"/>
      <charset val="128"/>
    </font>
    <font>
      <sz val="14"/>
      <name val="Meiryo UI"/>
      <family val="3"/>
      <charset val="128"/>
    </font>
    <font>
      <sz val="16"/>
      <name val="Meiryo UI"/>
      <family val="3"/>
      <charset val="128"/>
    </font>
    <font>
      <u/>
      <sz val="28"/>
      <name val="Meiryo UI"/>
      <family val="3"/>
      <charset val="128"/>
    </font>
    <font>
      <b/>
      <sz val="16"/>
      <name val="Meiryo UI"/>
      <family val="3"/>
      <charset val="128"/>
    </font>
    <font>
      <sz val="18"/>
      <name val="Meiryo UI"/>
      <family val="3"/>
      <charset val="128"/>
    </font>
    <font>
      <sz val="20"/>
      <name val="Meiryo UI"/>
      <family val="3"/>
      <charset val="128"/>
    </font>
    <font>
      <sz val="11"/>
      <name val="Meiryo UI"/>
      <family val="3"/>
      <charset val="128"/>
    </font>
    <font>
      <sz val="18"/>
      <color indexed="8"/>
      <name val="Meiryo UI"/>
      <family val="3"/>
      <charset val="128"/>
    </font>
    <font>
      <sz val="14"/>
      <color indexed="8"/>
      <name val="Meiryo UI"/>
      <family val="3"/>
      <charset val="128"/>
    </font>
    <font>
      <b/>
      <sz val="20"/>
      <color indexed="8"/>
      <name val="Meiryo UI"/>
      <family val="3"/>
      <charset val="128"/>
    </font>
    <font>
      <sz val="9"/>
      <color theme="1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9"/>
      <color rgb="FF000000"/>
      <name val="Meiryo UI"/>
      <family val="3"/>
      <charset val="128"/>
    </font>
    <font>
      <sz val="9"/>
      <color rgb="FFFF0000"/>
      <name val="Meiryo UI"/>
      <family val="3"/>
      <charset val="128"/>
    </font>
    <font>
      <sz val="9"/>
      <name val="Meiryo UI"/>
      <family val="3"/>
      <charset val="128"/>
    </font>
    <font>
      <u/>
      <sz val="10"/>
      <color theme="10"/>
      <name val="Arial"/>
      <family val="2"/>
    </font>
    <font>
      <sz val="22"/>
      <name val="Meiryo UI"/>
      <family val="3"/>
      <charset val="128"/>
    </font>
    <font>
      <sz val="9"/>
      <color theme="0" tint="-0.499984740745262"/>
      <name val="Meiryo UI"/>
      <family val="3"/>
      <charset val="128"/>
    </font>
    <font>
      <b/>
      <sz val="9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sz val="28"/>
      <name val="Meiryo UI"/>
      <family val="3"/>
      <charset val="128"/>
    </font>
    <font>
      <sz val="22"/>
      <name val="OCRB"/>
      <family val="3"/>
    </font>
    <font>
      <sz val="11"/>
      <color theme="1"/>
      <name val="游ゴシック"/>
      <family val="3"/>
      <charset val="128"/>
      <scheme val="minor"/>
    </font>
    <font>
      <sz val="8"/>
      <name val="Meiryo UI"/>
      <family val="3"/>
      <charset val="128"/>
    </font>
    <font>
      <sz val="6"/>
      <name val="Tsukushi A Round Gothic Bold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20" fillId="0" borderId="0"/>
    <xf numFmtId="38" fontId="1" fillId="0" borderId="0">
      <alignment vertical="center"/>
    </xf>
    <xf numFmtId="0" fontId="24" fillId="0" borderId="0">
      <alignment vertical="center"/>
    </xf>
    <xf numFmtId="0" fontId="27" fillId="0" borderId="0">
      <alignment vertical="center"/>
    </xf>
  </cellStyleXfs>
  <cellXfs count="79">
    <xf numFmtId="0" fontId="0" fillId="0" borderId="0" xfId="0"/>
    <xf numFmtId="0" fontId="2" fillId="0" borderId="0" xfId="1" applyFont="1"/>
    <xf numFmtId="0" fontId="3" fillId="2" borderId="4" xfId="1" applyFont="1" applyFill="1" applyBorder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  <xf numFmtId="0" fontId="5" fillId="0" borderId="1" xfId="1" applyFont="1" applyBorder="1"/>
    <xf numFmtId="0" fontId="5" fillId="0" borderId="0" xfId="1" applyFont="1"/>
    <xf numFmtId="0" fontId="5" fillId="0" borderId="0" xfId="1" applyFont="1" applyAlignment="1">
      <alignment vertical="center"/>
    </xf>
    <xf numFmtId="0" fontId="2" fillId="0" borderId="2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5" fillId="2" borderId="8" xfId="1" applyFont="1" applyFill="1" applyBorder="1" applyAlignment="1">
      <alignment horizontal="center" vertical="center"/>
    </xf>
    <xf numFmtId="0" fontId="14" fillId="2" borderId="0" xfId="1" applyFont="1" applyFill="1" applyAlignment="1">
      <alignment horizontal="left"/>
    </xf>
    <xf numFmtId="0" fontId="17" fillId="0" borderId="2" xfId="2" applyFont="1" applyBorder="1" applyAlignment="1">
      <alignment vertical="center" wrapText="1"/>
    </xf>
    <xf numFmtId="0" fontId="17" fillId="0" borderId="2" xfId="2" applyFont="1" applyBorder="1" applyAlignment="1">
      <alignment horizontal="center" vertical="center" wrapText="1"/>
    </xf>
    <xf numFmtId="0" fontId="17" fillId="0" borderId="2" xfId="2" applyFont="1" applyBorder="1" applyAlignment="1">
      <alignment horizontal="left" vertical="center" wrapText="1"/>
    </xf>
    <xf numFmtId="0" fontId="18" fillId="0" borderId="2" xfId="2" applyFont="1" applyBorder="1" applyAlignment="1">
      <alignment horizontal="center" vertical="center" wrapText="1"/>
    </xf>
    <xf numFmtId="0" fontId="18" fillId="0" borderId="2" xfId="2" applyFont="1" applyBorder="1" applyAlignment="1">
      <alignment horizontal="left" vertical="center" wrapText="1"/>
    </xf>
    <xf numFmtId="0" fontId="18" fillId="0" borderId="2" xfId="2" applyFont="1" applyBorder="1" applyAlignment="1">
      <alignment vertical="center" wrapText="1"/>
    </xf>
    <xf numFmtId="0" fontId="18" fillId="0" borderId="2" xfId="2" applyFont="1" applyBorder="1" applyAlignment="1">
      <alignment vertical="center"/>
    </xf>
    <xf numFmtId="0" fontId="15" fillId="0" borderId="2" xfId="2" applyFont="1" applyBorder="1" applyAlignment="1">
      <alignment vertical="center"/>
    </xf>
    <xf numFmtId="0" fontId="15" fillId="0" borderId="0" xfId="2" applyFont="1" applyAlignment="1">
      <alignment vertical="center"/>
    </xf>
    <xf numFmtId="0" fontId="15" fillId="0" borderId="0" xfId="2" applyFont="1" applyAlignment="1">
      <alignment horizontal="center" vertical="center"/>
    </xf>
    <xf numFmtId="0" fontId="16" fillId="4" borderId="2" xfId="2" applyFont="1" applyFill="1" applyBorder="1" applyAlignment="1">
      <alignment horizontal="left" vertical="top" wrapText="1"/>
    </xf>
    <xf numFmtId="0" fontId="19" fillId="0" borderId="0" xfId="1" applyFont="1"/>
    <xf numFmtId="0" fontId="19" fillId="0" borderId="0" xfId="2" applyFont="1"/>
    <xf numFmtId="0" fontId="19" fillId="0" borderId="2" xfId="2" applyFont="1" applyBorder="1"/>
    <xf numFmtId="0" fontId="18" fillId="0" borderId="2" xfId="2" applyFont="1" applyBorder="1"/>
    <xf numFmtId="0" fontId="19" fillId="3" borderId="2" xfId="2" applyFont="1" applyFill="1" applyBorder="1"/>
    <xf numFmtId="0" fontId="5" fillId="0" borderId="0" xfId="0" applyFont="1"/>
    <xf numFmtId="0" fontId="5" fillId="0" borderId="0" xfId="1" applyFont="1" applyAlignment="1">
      <alignment vertical="top"/>
    </xf>
    <xf numFmtId="0" fontId="22" fillId="0" borderId="2" xfId="2" applyFont="1" applyBorder="1" applyAlignment="1">
      <alignment horizontal="left" vertical="center" wrapText="1"/>
    </xf>
    <xf numFmtId="0" fontId="22" fillId="0" borderId="2" xfId="2" applyFont="1" applyBorder="1" applyAlignment="1">
      <alignment vertical="center" wrapText="1"/>
    </xf>
    <xf numFmtId="0" fontId="13" fillId="2" borderId="0" xfId="1" applyFont="1" applyFill="1" applyAlignment="1">
      <alignment horizontal="left"/>
    </xf>
    <xf numFmtId="0" fontId="2" fillId="2" borderId="0" xfId="1" applyFont="1" applyFill="1"/>
    <xf numFmtId="0" fontId="5" fillId="2" borderId="0" xfId="3" applyFont="1" applyFill="1" applyAlignment="1">
      <alignment horizontal="left"/>
    </xf>
    <xf numFmtId="0" fontId="23" fillId="0" borderId="0" xfId="1" applyFont="1" applyAlignment="1">
      <alignment horizontal="left" vertical="top"/>
    </xf>
    <xf numFmtId="0" fontId="16" fillId="6" borderId="2" xfId="2" applyFont="1" applyFill="1" applyBorder="1" applyAlignment="1">
      <alignment horizontal="left" vertical="top" wrapText="1"/>
    </xf>
    <xf numFmtId="0" fontId="15" fillId="0" borderId="0" xfId="2" applyFont="1" applyAlignment="1">
      <alignment horizontal="right" vertical="center"/>
    </xf>
    <xf numFmtId="0" fontId="16" fillId="4" borderId="2" xfId="2" applyFont="1" applyFill="1" applyBorder="1" applyAlignment="1">
      <alignment horizontal="left" vertical="top"/>
    </xf>
    <xf numFmtId="0" fontId="16" fillId="7" borderId="2" xfId="2" applyFont="1" applyFill="1" applyBorder="1" applyAlignment="1">
      <alignment horizontal="left" vertical="top" wrapText="1"/>
    </xf>
    <xf numFmtId="177" fontId="16" fillId="4" borderId="2" xfId="4" applyNumberFormat="1" applyFont="1" applyFill="1" applyBorder="1" applyAlignment="1">
      <alignment horizontal="left" vertical="top" wrapText="1"/>
    </xf>
    <xf numFmtId="0" fontId="16" fillId="5" borderId="2" xfId="2" applyFont="1" applyFill="1" applyBorder="1" applyAlignment="1">
      <alignment horizontal="left" vertical="top" wrapText="1"/>
    </xf>
    <xf numFmtId="178" fontId="2" fillId="2" borderId="7" xfId="1" applyNumberFormat="1" applyFont="1" applyFill="1" applyBorder="1" applyAlignment="1">
      <alignment horizontal="center" shrinkToFit="1"/>
    </xf>
    <xf numFmtId="178" fontId="9" fillId="2" borderId="11" xfId="1" applyNumberFormat="1" applyFont="1" applyFill="1" applyBorder="1" applyAlignment="1">
      <alignment horizontal="center" shrinkToFit="1"/>
    </xf>
    <xf numFmtId="178" fontId="2" fillId="2" borderId="11" xfId="1" applyNumberFormat="1" applyFont="1" applyFill="1" applyBorder="1" applyAlignment="1">
      <alignment horizontal="center" shrinkToFit="1"/>
    </xf>
    <xf numFmtId="178" fontId="10" fillId="2" borderId="13" xfId="1" applyNumberFormat="1" applyFont="1" applyFill="1" applyBorder="1" applyAlignment="1">
      <alignment horizontal="center" shrinkToFit="1"/>
    </xf>
    <xf numFmtId="0" fontId="2" fillId="0" borderId="0" xfId="1" applyFont="1" applyAlignment="1">
      <alignment horizontal="right"/>
    </xf>
    <xf numFmtId="0" fontId="2" fillId="2" borderId="12" xfId="1" applyFont="1" applyFill="1" applyBorder="1"/>
    <xf numFmtId="0" fontId="2" fillId="2" borderId="1" xfId="1" applyFont="1" applyFill="1" applyBorder="1"/>
    <xf numFmtId="0" fontId="2" fillId="2" borderId="12" xfId="1" applyFont="1" applyFill="1" applyBorder="1" applyAlignment="1">
      <alignment horizontal="center"/>
    </xf>
    <xf numFmtId="0" fontId="8" fillId="2" borderId="8" xfId="1" applyFont="1" applyFill="1" applyBorder="1" applyAlignment="1">
      <alignment vertical="center"/>
    </xf>
    <xf numFmtId="0" fontId="6" fillId="2" borderId="0" xfId="1" applyFont="1" applyFill="1"/>
    <xf numFmtId="0" fontId="6" fillId="2" borderId="15" xfId="1" applyFont="1" applyFill="1" applyBorder="1"/>
    <xf numFmtId="0" fontId="6" fillId="2" borderId="12" xfId="1" applyFont="1" applyFill="1" applyBorder="1"/>
    <xf numFmtId="0" fontId="6" fillId="2" borderId="1" xfId="1" applyFont="1" applyFill="1" applyBorder="1"/>
    <xf numFmtId="0" fontId="6" fillId="2" borderId="16" xfId="1" applyFont="1" applyFill="1" applyBorder="1"/>
    <xf numFmtId="178" fontId="10" fillId="2" borderId="11" xfId="1" applyNumberFormat="1" applyFont="1" applyFill="1" applyBorder="1" applyAlignment="1">
      <alignment horizontal="center" shrinkToFit="1"/>
    </xf>
    <xf numFmtId="0" fontId="28" fillId="2" borderId="10" xfId="1" applyFont="1" applyFill="1" applyBorder="1" applyAlignment="1">
      <alignment horizontal="center"/>
    </xf>
    <xf numFmtId="0" fontId="28" fillId="2" borderId="14" xfId="1" applyFont="1" applyFill="1" applyBorder="1" applyAlignment="1">
      <alignment horizontal="center"/>
    </xf>
    <xf numFmtId="49" fontId="11" fillId="2" borderId="1" xfId="1" applyNumberFormat="1" applyFont="1" applyFill="1" applyBorder="1" applyAlignment="1">
      <alignment horizontal="center" vertical="center"/>
    </xf>
    <xf numFmtId="0" fontId="0" fillId="0" borderId="1" xfId="0" applyBorder="1"/>
    <xf numFmtId="0" fontId="2" fillId="2" borderId="8" xfId="1" applyFont="1" applyFill="1" applyBorder="1" applyAlignment="1">
      <alignment horizontal="left" shrinkToFit="1"/>
    </xf>
    <xf numFmtId="0" fontId="0" fillId="0" borderId="9" xfId="0" applyBorder="1"/>
    <xf numFmtId="0" fontId="2" fillId="0" borderId="3" xfId="1" applyFont="1" applyBorder="1" applyAlignment="1">
      <alignment horizontal="center"/>
    </xf>
    <xf numFmtId="0" fontId="0" fillId="0" borderId="5" xfId="0" applyBorder="1"/>
    <xf numFmtId="176" fontId="26" fillId="2" borderId="0" xfId="1" applyNumberFormat="1" applyFont="1" applyFill="1" applyAlignment="1">
      <alignment horizontal="center" vertical="center"/>
    </xf>
    <xf numFmtId="0" fontId="2" fillId="0" borderId="0" xfId="1" applyFont="1"/>
    <xf numFmtId="0" fontId="2" fillId="2" borderId="8" xfId="1" applyFont="1" applyFill="1" applyBorder="1" applyAlignment="1">
      <alignment horizontal="left" wrapText="1" shrinkToFit="1"/>
    </xf>
    <xf numFmtId="0" fontId="12" fillId="2" borderId="0" xfId="1" applyFont="1" applyFill="1" applyAlignment="1">
      <alignment horizontal="left"/>
    </xf>
    <xf numFmtId="0" fontId="25" fillId="0" borderId="4" xfId="0" applyFont="1" applyBorder="1" applyAlignment="1">
      <alignment horizontal="center"/>
    </xf>
    <xf numFmtId="0" fontId="0" fillId="0" borderId="20" xfId="0" applyBorder="1"/>
    <xf numFmtId="0" fontId="0" fillId="0" borderId="17" xfId="0" applyBorder="1"/>
    <xf numFmtId="0" fontId="0" fillId="0" borderId="18" xfId="0" applyBorder="1"/>
    <xf numFmtId="0" fontId="0" fillId="0" borderId="21" xfId="0" applyBorder="1"/>
    <xf numFmtId="0" fontId="0" fillId="0" borderId="19" xfId="0" applyBorder="1"/>
    <xf numFmtId="0" fontId="6" fillId="2" borderId="1" xfId="1" applyFont="1" applyFill="1" applyBorder="1" applyAlignment="1">
      <alignment horizontal="left" shrinkToFit="1"/>
    </xf>
    <xf numFmtId="0" fontId="5" fillId="2" borderId="0" xfId="1" applyFont="1" applyFill="1" applyAlignment="1">
      <alignment horizontal="left"/>
    </xf>
    <xf numFmtId="0" fontId="21" fillId="0" borderId="0" xfId="0" applyFont="1" applyAlignment="1">
      <alignment horizontal="left" vertical="top"/>
    </xf>
    <xf numFmtId="0" fontId="7" fillId="0" borderId="0" xfId="1" applyFont="1" applyAlignment="1">
      <alignment horizontal="center"/>
    </xf>
    <xf numFmtId="14" fontId="5" fillId="2" borderId="0" xfId="1" applyNumberFormat="1" applyFont="1" applyFill="1" applyAlignment="1">
      <alignment horizontal="right"/>
    </xf>
  </cellXfs>
  <cellStyles count="7">
    <cellStyle name="ハイパーリンク" xfId="3" builtinId="8"/>
    <cellStyle name="桁区切り 3" xfId="4" xr:uid="{00000000-0005-0000-0000-000004000000}"/>
    <cellStyle name="標準" xfId="0" builtinId="0"/>
    <cellStyle name="標準 2" xfId="1" xr:uid="{00000000-0005-0000-0000-000001000000}"/>
    <cellStyle name="標準 2 2" xfId="2" xr:uid="{00000000-0005-0000-0000-000002000000}"/>
    <cellStyle name="標準 3" xfId="5" xr:uid="{00000000-0005-0000-0000-000005000000}"/>
    <cellStyle name="標準 4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s1957@miraiyashoten.co.j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34"/>
  <sheetViews>
    <sheetView tabSelected="1" view="pageBreakPreview" zoomScale="135" zoomScaleNormal="59" zoomScaleSheetLayoutView="81" workbookViewId="0">
      <selection activeCell="H11" sqref="H11"/>
    </sheetView>
  </sheetViews>
  <sheetFormatPr baseColWidth="10" defaultColWidth="8.6640625" defaultRowHeight="15"/>
  <cols>
    <col min="1" max="1" width="2.5" style="1" customWidth="1"/>
    <col min="2" max="2" width="16.5" style="1" customWidth="1"/>
    <col min="3" max="3" width="4.83203125" style="1" customWidth="1"/>
    <col min="4" max="9" width="8.6640625" style="1" customWidth="1"/>
    <col min="10" max="10" width="11.1640625" style="1" customWidth="1"/>
    <col min="11" max="11" width="2.5" style="1" customWidth="1"/>
    <col min="12" max="12" width="8.6640625" style="1" customWidth="1"/>
    <col min="13" max="13" width="38.6640625" style="1" customWidth="1"/>
    <col min="14" max="14" width="8.6640625" style="1" customWidth="1"/>
    <col min="15" max="16384" width="8.6640625" style="1"/>
  </cols>
  <sheetData>
    <row r="1" spans="2:18" ht="16" customHeight="1" thickBot="1"/>
    <row r="2" spans="2:18" ht="39" customHeight="1" thickBot="1">
      <c r="B2" s="2" t="s">
        <v>216</v>
      </c>
      <c r="I2" s="64">
        <f>P4</f>
        <v>72246</v>
      </c>
      <c r="J2" s="65"/>
      <c r="M2" s="27" t="s">
        <v>217</v>
      </c>
    </row>
    <row r="3" spans="2:18" ht="7.5" customHeight="1" thickBot="1">
      <c r="I3" s="3"/>
      <c r="J3" s="3"/>
    </row>
    <row r="4" spans="2:18" ht="20" customHeight="1">
      <c r="I4" s="78">
        <f ca="1">TODAY()</f>
        <v>45562</v>
      </c>
      <c r="J4" s="65"/>
      <c r="N4" s="27"/>
      <c r="P4" s="68">
        <v>72246</v>
      </c>
      <c r="Q4" s="69"/>
      <c r="R4" s="70"/>
    </row>
    <row r="5" spans="2:18" ht="25" customHeight="1" thickBot="1">
      <c r="B5" s="74"/>
      <c r="C5" s="59"/>
      <c r="D5" s="59"/>
      <c r="E5" s="4" t="s">
        <v>218</v>
      </c>
      <c r="M5" s="27"/>
      <c r="P5" s="71"/>
      <c r="Q5" s="72"/>
      <c r="R5" s="73"/>
    </row>
    <row r="6" spans="2:18" ht="21" customHeight="1">
      <c r="M6" s="76" t="s">
        <v>219</v>
      </c>
      <c r="N6" s="65"/>
      <c r="O6" s="65"/>
    </row>
    <row r="7" spans="2:18" ht="39" customHeight="1">
      <c r="B7" s="77" t="s">
        <v>220</v>
      </c>
      <c r="C7" s="65"/>
      <c r="D7" s="65"/>
      <c r="E7" s="65"/>
      <c r="F7" s="65"/>
      <c r="G7" s="65"/>
      <c r="H7" s="65"/>
      <c r="I7" s="65"/>
      <c r="J7" s="65"/>
      <c r="M7" s="65"/>
      <c r="N7" s="65"/>
      <c r="O7" s="65"/>
    </row>
    <row r="9" spans="2:18" ht="20" customHeight="1">
      <c r="B9" s="5" t="s">
        <v>221</v>
      </c>
      <c r="M9" s="28" t="s">
        <v>222</v>
      </c>
    </row>
    <row r="10" spans="2:18" ht="20" customHeight="1">
      <c r="B10" s="6" t="s">
        <v>223</v>
      </c>
    </row>
    <row r="11" spans="2:18" ht="20" customHeight="1">
      <c r="B11" s="6" t="s">
        <v>224</v>
      </c>
    </row>
    <row r="12" spans="2:18" ht="17" customHeight="1" thickBot="1"/>
    <row r="13" spans="2:18" ht="22" customHeight="1">
      <c r="B13" s="7" t="s">
        <v>225</v>
      </c>
      <c r="C13" s="7" t="s">
        <v>226</v>
      </c>
      <c r="D13" s="62" t="s">
        <v>227</v>
      </c>
      <c r="E13" s="63"/>
      <c r="F13" s="63"/>
      <c r="G13" s="63"/>
      <c r="H13" s="63"/>
      <c r="I13" s="63"/>
      <c r="J13" s="8" t="s">
        <v>228</v>
      </c>
    </row>
    <row r="14" spans="2:18" ht="16.5" customHeight="1">
      <c r="B14" s="41" t="str">
        <f>IF(C14&gt;0.1,VLOOKUP(P4,店舗マスタ230208!B:AT,14,0),"-")</f>
        <v>-</v>
      </c>
      <c r="C14" s="49"/>
      <c r="D14" s="66"/>
      <c r="E14" s="61"/>
      <c r="F14" s="61"/>
      <c r="G14" s="61"/>
      <c r="H14" s="61"/>
      <c r="I14" s="61"/>
      <c r="J14" s="56" t="s">
        <v>229</v>
      </c>
    </row>
    <row r="15" spans="2:18" ht="23.5" customHeight="1" thickBot="1">
      <c r="B15" s="42" t="str">
        <f>IF(C14&gt;0.1,VLOOKUP(P4,店舗マスタ230208!B:AT,15,0),"-")</f>
        <v>-</v>
      </c>
      <c r="C15" s="48" t="s">
        <v>230</v>
      </c>
      <c r="D15" s="46" t="s">
        <v>231</v>
      </c>
      <c r="E15" s="47"/>
      <c r="F15" s="58"/>
      <c r="G15" s="59"/>
      <c r="H15" s="59"/>
      <c r="I15" s="59"/>
      <c r="J15" s="57" t="s">
        <v>232</v>
      </c>
    </row>
    <row r="16" spans="2:18" ht="16.5" customHeight="1">
      <c r="B16" s="43" t="str">
        <f>IF(C14&gt;0.1,VLOOKUP(P4,店舗マスタ230208!B:AT,16,0),"-")</f>
        <v>-</v>
      </c>
      <c r="C16" s="49"/>
      <c r="D16" s="66"/>
      <c r="E16" s="61"/>
      <c r="F16" s="61"/>
      <c r="G16" s="61"/>
      <c r="H16" s="61"/>
      <c r="I16" s="61"/>
      <c r="J16" s="56" t="s">
        <v>229</v>
      </c>
    </row>
    <row r="17" spans="2:10" ht="27" customHeight="1" thickBot="1">
      <c r="B17" s="55" t="str">
        <f>IF(C14&gt;0.1,VLOOKUP(P4,店舗マスタ230208!B:AT,17,0),"-")</f>
        <v>-</v>
      </c>
      <c r="C17" s="48" t="s">
        <v>230</v>
      </c>
      <c r="D17" s="46" t="s">
        <v>231</v>
      </c>
      <c r="E17" s="47"/>
      <c r="F17" s="58"/>
      <c r="G17" s="59"/>
      <c r="H17" s="59"/>
      <c r="I17" s="59"/>
      <c r="J17" s="57" t="s">
        <v>232</v>
      </c>
    </row>
    <row r="18" spans="2:10" ht="13.5" customHeight="1">
      <c r="B18" s="43"/>
      <c r="C18" s="49"/>
      <c r="D18" s="60"/>
      <c r="E18" s="61"/>
      <c r="F18" s="61"/>
      <c r="G18" s="61"/>
      <c r="H18" s="61"/>
      <c r="I18" s="61"/>
      <c r="J18" s="56" t="s">
        <v>229</v>
      </c>
    </row>
    <row r="19" spans="2:10" ht="26" customHeight="1" thickBot="1">
      <c r="B19" s="42"/>
      <c r="C19" s="48" t="s">
        <v>230</v>
      </c>
      <c r="D19" s="46" t="s">
        <v>231</v>
      </c>
      <c r="E19" s="47"/>
      <c r="F19" s="58"/>
      <c r="G19" s="59"/>
      <c r="H19" s="59"/>
      <c r="I19" s="59"/>
      <c r="J19" s="57" t="s">
        <v>232</v>
      </c>
    </row>
    <row r="20" spans="2:10" ht="13.5" customHeight="1">
      <c r="B20" s="43"/>
      <c r="C20" s="49"/>
      <c r="D20" s="60"/>
      <c r="E20" s="61"/>
      <c r="F20" s="61"/>
      <c r="G20" s="61"/>
      <c r="H20" s="61"/>
      <c r="I20" s="61"/>
      <c r="J20" s="56" t="s">
        <v>229</v>
      </c>
    </row>
    <row r="21" spans="2:10" ht="28" customHeight="1" thickBot="1">
      <c r="B21" s="44"/>
      <c r="C21" s="48" t="s">
        <v>230</v>
      </c>
      <c r="D21" s="46" t="s">
        <v>231</v>
      </c>
      <c r="E21" s="47"/>
      <c r="F21" s="58"/>
      <c r="G21" s="59"/>
      <c r="H21" s="59"/>
      <c r="I21" s="59"/>
      <c r="J21" s="57" t="s">
        <v>232</v>
      </c>
    </row>
    <row r="22" spans="2:10" ht="13.5" customHeight="1">
      <c r="B22" s="43"/>
      <c r="C22" s="49"/>
      <c r="D22" s="60"/>
      <c r="E22" s="61"/>
      <c r="F22" s="61"/>
      <c r="G22" s="61"/>
      <c r="H22" s="61"/>
      <c r="I22" s="61"/>
      <c r="J22" s="56" t="s">
        <v>229</v>
      </c>
    </row>
    <row r="23" spans="2:10" ht="28" customHeight="1" thickBot="1">
      <c r="B23" s="44"/>
      <c r="C23" s="48" t="s">
        <v>230</v>
      </c>
      <c r="D23" s="46" t="s">
        <v>231</v>
      </c>
      <c r="E23" s="47"/>
      <c r="F23" s="58"/>
      <c r="G23" s="59"/>
      <c r="H23" s="59"/>
      <c r="I23" s="59"/>
      <c r="J23" s="57" t="s">
        <v>232</v>
      </c>
    </row>
    <row r="24" spans="2:10" ht="30" customHeight="1">
      <c r="B24" s="9" t="s">
        <v>233</v>
      </c>
      <c r="C24" s="50"/>
      <c r="D24" s="50"/>
      <c r="E24" s="50"/>
      <c r="F24" s="50"/>
      <c r="G24" s="50"/>
      <c r="H24" s="50"/>
      <c r="I24" s="50"/>
      <c r="J24" s="51"/>
    </row>
    <row r="25" spans="2:10" ht="30" customHeight="1">
      <c r="B25" s="52"/>
      <c r="C25" s="53"/>
      <c r="D25" s="53"/>
      <c r="E25" s="53"/>
      <c r="F25" s="53"/>
      <c r="G25" s="53"/>
      <c r="H25" s="53"/>
      <c r="I25" s="53"/>
      <c r="J25" s="54"/>
    </row>
    <row r="27" spans="2:10" ht="25" customHeight="1">
      <c r="B27" s="67" t="str">
        <f>VLOOKUP(P4,店舗マスタ230208!B:AL,4,0)</f>
        <v>未来屋書店 高知店</v>
      </c>
      <c r="C27" s="65"/>
      <c r="D27" s="65"/>
      <c r="E27" s="65"/>
      <c r="F27" s="65"/>
      <c r="G27" s="5" t="s">
        <v>234</v>
      </c>
      <c r="H27" s="75"/>
      <c r="I27" s="65"/>
    </row>
    <row r="28" spans="2:10" ht="20" customHeight="1">
      <c r="B28" s="31" t="str">
        <f>VLOOKUP(P4,店舗マスタ230208!B:AL,10,0)</f>
        <v>TEL 088-856-5107</v>
      </c>
      <c r="C28" s="32"/>
      <c r="D28" s="32"/>
      <c r="E28" s="32"/>
      <c r="F28" s="32"/>
    </row>
    <row r="29" spans="2:10" ht="20" customHeight="1">
      <c r="B29" s="33" t="str">
        <f>VLOOKUP(P4,店舗マスタ230208!B:AL,13,0)</f>
        <v>ms72246@miraiyashoten.co.jp</v>
      </c>
      <c r="C29" s="32"/>
      <c r="D29" s="32"/>
      <c r="E29" s="32"/>
      <c r="F29" s="32"/>
    </row>
    <row r="30" spans="2:10" ht="27" customHeight="1">
      <c r="B30" s="10" t="s">
        <v>235</v>
      </c>
    </row>
    <row r="34" spans="10:10">
      <c r="J34" s="45" t="s">
        <v>236</v>
      </c>
    </row>
  </sheetData>
  <mergeCells count="19">
    <mergeCell ref="B27:F27"/>
    <mergeCell ref="P4:R5"/>
    <mergeCell ref="D18:I18"/>
    <mergeCell ref="F19:I19"/>
    <mergeCell ref="B5:D5"/>
    <mergeCell ref="D14:I14"/>
    <mergeCell ref="F15:I15"/>
    <mergeCell ref="F21:I21"/>
    <mergeCell ref="D20:I20"/>
    <mergeCell ref="H27:I27"/>
    <mergeCell ref="M6:O7"/>
    <mergeCell ref="B7:J7"/>
    <mergeCell ref="I4:J4"/>
    <mergeCell ref="F17:I17"/>
    <mergeCell ref="D22:I22"/>
    <mergeCell ref="F23:I23"/>
    <mergeCell ref="D13:I13"/>
    <mergeCell ref="I2:J2"/>
    <mergeCell ref="D16:I16"/>
  </mergeCells>
  <phoneticPr fontId="29"/>
  <hyperlinks>
    <hyperlink ref="B29" r:id="rId1" display="ms1957@miraiyashoten.co.jp" xr:uid="{00000000-0004-0000-0100-000000000000}"/>
  </hyperlinks>
  <printOptions horizontalCentered="1"/>
  <pageMargins left="0" right="0" top="0.55118110236220474" bottom="0.74803149606299213" header="0.31496062992125978" footer="0.31496062992125978"/>
  <pageSetup paperSize="9" scale="10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T569"/>
  <sheetViews>
    <sheetView zoomScale="74" zoomScaleNormal="74" workbookViewId="0">
      <pane xSplit="4" ySplit="2" topLeftCell="AM49" activePane="bottomRight" state="frozen"/>
      <selection activeCell="AW43" sqref="AW43"/>
      <selection pane="topRight" activeCell="AW43" sqref="AW43"/>
      <selection pane="bottomLeft" activeCell="AW43" sqref="AW43"/>
      <selection pane="bottomRight" activeCell="AV107" sqref="AV107"/>
    </sheetView>
  </sheetViews>
  <sheetFormatPr baseColWidth="10" defaultColWidth="8.6640625" defaultRowHeight="14"/>
  <cols>
    <col min="1" max="1" width="5" style="19" customWidth="1"/>
    <col min="2" max="2" width="6.83203125" style="20" customWidth="1"/>
    <col min="3" max="3" width="11.5" style="20" bestFit="1" customWidth="1"/>
    <col min="4" max="4" width="15.83203125" style="19" customWidth="1"/>
    <col min="5" max="5" width="24.5" style="19" customWidth="1"/>
    <col min="6" max="6" width="19.5" style="19" customWidth="1"/>
    <col min="7" max="7" width="12.5" style="20" customWidth="1"/>
    <col min="8" max="8" width="16.6640625" style="23" customWidth="1"/>
    <col min="9" max="9" width="56.83203125" style="19" customWidth="1"/>
    <col min="10" max="10" width="14.6640625" style="19" bestFit="1" customWidth="1"/>
    <col min="11" max="11" width="18.83203125" style="19" bestFit="1" customWidth="1"/>
    <col min="12" max="12" width="15.5" style="19" customWidth="1"/>
    <col min="13" max="13" width="6" style="19" customWidth="1"/>
    <col min="14" max="14" width="26.5" style="19" customWidth="1"/>
    <col min="15" max="15" width="9.5" style="19" customWidth="1"/>
    <col min="16" max="16" width="11.5" style="20" bestFit="1" customWidth="1"/>
    <col min="17" max="17" width="16.6640625" style="23" bestFit="1" customWidth="1"/>
    <col min="18" max="22" width="10.83203125" style="20" customWidth="1"/>
    <col min="23" max="23" width="11.83203125" style="19" bestFit="1" customWidth="1"/>
    <col min="24" max="24" width="16.5" style="19" customWidth="1"/>
    <col min="25" max="25" width="14.5" style="19" bestFit="1" customWidth="1"/>
    <col min="26" max="26" width="53.1640625" style="23" customWidth="1"/>
    <col min="27" max="27" width="28" style="23" bestFit="1" customWidth="1"/>
    <col min="28" max="28" width="7.5" style="23" customWidth="1"/>
    <col min="29" max="29" width="8.6640625" style="23" customWidth="1"/>
    <col min="30" max="30" width="15.1640625" style="23" bestFit="1" customWidth="1"/>
    <col min="31" max="31" width="9.5" style="23" customWidth="1"/>
    <col min="32" max="32" width="12.1640625" style="23" bestFit="1" customWidth="1"/>
    <col min="33" max="34" width="16.83203125" style="23" customWidth="1"/>
    <col min="35" max="36" width="11.5" style="19" customWidth="1"/>
    <col min="37" max="37" width="12.1640625" style="19" customWidth="1"/>
    <col min="38" max="38" width="15.83203125" style="23" customWidth="1"/>
    <col min="39" max="40" width="9.83203125" style="23" customWidth="1"/>
    <col min="41" max="42" width="8.6640625" style="23" customWidth="1"/>
    <col min="43" max="43" width="10.1640625" style="23" customWidth="1"/>
    <col min="44" max="44" width="7.5" style="23" customWidth="1"/>
    <col min="45" max="45" width="10.1640625" style="23" customWidth="1"/>
    <col min="46" max="46" width="8.6640625" style="23" customWidth="1"/>
    <col min="47" max="47" width="8.6640625" style="22" customWidth="1"/>
    <col min="48" max="16384" width="8.6640625" style="22"/>
  </cols>
  <sheetData>
    <row r="1" spans="1:46">
      <c r="A1" s="23"/>
      <c r="B1" s="36">
        <v>1</v>
      </c>
      <c r="C1" s="36">
        <v>2</v>
      </c>
      <c r="D1" s="36">
        <v>3</v>
      </c>
      <c r="E1" s="36">
        <v>4</v>
      </c>
      <c r="F1" s="36">
        <v>5</v>
      </c>
      <c r="G1" s="36">
        <v>6</v>
      </c>
      <c r="H1" s="36">
        <v>7</v>
      </c>
      <c r="I1" s="36">
        <v>8</v>
      </c>
      <c r="J1" s="36">
        <v>9</v>
      </c>
      <c r="K1" s="36">
        <v>10</v>
      </c>
      <c r="L1" s="36">
        <v>11</v>
      </c>
      <c r="M1" s="36">
        <v>12</v>
      </c>
      <c r="N1" s="36">
        <v>13</v>
      </c>
      <c r="O1" s="36">
        <v>14</v>
      </c>
      <c r="P1" s="36">
        <v>15</v>
      </c>
      <c r="Q1" s="36">
        <v>16</v>
      </c>
      <c r="R1" s="36">
        <v>17</v>
      </c>
      <c r="S1" s="36">
        <v>18</v>
      </c>
      <c r="T1" s="36">
        <v>19</v>
      </c>
      <c r="U1" s="36">
        <v>20</v>
      </c>
      <c r="V1" s="36">
        <v>21</v>
      </c>
      <c r="W1" s="36">
        <v>22</v>
      </c>
      <c r="X1" s="36">
        <v>23</v>
      </c>
      <c r="Y1" s="36">
        <v>24</v>
      </c>
      <c r="Z1" s="36">
        <v>25</v>
      </c>
      <c r="AA1" s="36">
        <v>26</v>
      </c>
      <c r="AB1" s="36">
        <v>27</v>
      </c>
      <c r="AC1" s="36">
        <v>28</v>
      </c>
      <c r="AD1" s="36">
        <v>29</v>
      </c>
      <c r="AE1" s="36">
        <v>30</v>
      </c>
      <c r="AF1" s="36">
        <v>31</v>
      </c>
      <c r="AG1" s="36">
        <v>32</v>
      </c>
      <c r="AH1" s="36">
        <v>33</v>
      </c>
      <c r="AI1" s="36">
        <v>34</v>
      </c>
      <c r="AJ1" s="36">
        <v>35</v>
      </c>
      <c r="AK1" s="36">
        <v>36</v>
      </c>
      <c r="AL1" s="36">
        <v>37</v>
      </c>
      <c r="AM1" s="36">
        <v>38</v>
      </c>
      <c r="AN1" s="36">
        <v>39</v>
      </c>
      <c r="AO1" s="36">
        <v>40</v>
      </c>
      <c r="AP1" s="36">
        <v>41</v>
      </c>
      <c r="AQ1" s="36">
        <v>42</v>
      </c>
      <c r="AR1" s="36">
        <v>43</v>
      </c>
      <c r="AS1" s="36">
        <v>44</v>
      </c>
      <c r="AT1" s="36">
        <v>45</v>
      </c>
    </row>
    <row r="2" spans="1:46" s="34" customFormat="1" ht="42.5" customHeight="1">
      <c r="A2" s="21" t="s">
        <v>238</v>
      </c>
      <c r="B2" s="21" t="s">
        <v>1</v>
      </c>
      <c r="C2" s="21" t="s">
        <v>239</v>
      </c>
      <c r="D2" s="21" t="s">
        <v>0</v>
      </c>
      <c r="E2" s="21" t="s">
        <v>240</v>
      </c>
      <c r="F2" s="21" t="s">
        <v>241</v>
      </c>
      <c r="G2" s="21" t="s">
        <v>242</v>
      </c>
      <c r="H2" s="37" t="s">
        <v>243</v>
      </c>
      <c r="I2" s="21" t="s">
        <v>244</v>
      </c>
      <c r="J2" s="21" t="s">
        <v>245</v>
      </c>
      <c r="K2" s="21" t="s">
        <v>246</v>
      </c>
      <c r="L2" s="21" t="s">
        <v>247</v>
      </c>
      <c r="M2" s="21" t="s">
        <v>248</v>
      </c>
      <c r="N2" s="21" t="s">
        <v>249</v>
      </c>
      <c r="O2" s="21" t="s">
        <v>7</v>
      </c>
      <c r="P2" s="21" t="s">
        <v>225</v>
      </c>
      <c r="Q2" s="21" t="s">
        <v>250</v>
      </c>
      <c r="R2" s="21" t="s">
        <v>251</v>
      </c>
      <c r="S2" s="38" t="s">
        <v>3</v>
      </c>
      <c r="T2" s="38" t="s">
        <v>252</v>
      </c>
      <c r="U2" s="38" t="s">
        <v>253</v>
      </c>
      <c r="V2" s="38" t="s">
        <v>254</v>
      </c>
      <c r="W2" s="38" t="s">
        <v>255</v>
      </c>
      <c r="X2" s="38" t="s">
        <v>256</v>
      </c>
      <c r="Y2" s="38" t="s">
        <v>257</v>
      </c>
      <c r="Z2" s="38" t="s">
        <v>258</v>
      </c>
      <c r="AA2" s="38" t="s">
        <v>259</v>
      </c>
      <c r="AB2" s="35" t="s">
        <v>4</v>
      </c>
      <c r="AC2" s="35" t="s">
        <v>260</v>
      </c>
      <c r="AD2" s="35" t="s">
        <v>261</v>
      </c>
      <c r="AE2" s="35" t="s">
        <v>262</v>
      </c>
      <c r="AF2" s="35" t="s">
        <v>255</v>
      </c>
      <c r="AG2" s="35" t="s">
        <v>256</v>
      </c>
      <c r="AH2" s="35" t="s">
        <v>257</v>
      </c>
      <c r="AI2" s="35" t="s">
        <v>263</v>
      </c>
      <c r="AJ2" s="35" t="s">
        <v>264</v>
      </c>
      <c r="AK2" s="35" t="s">
        <v>263</v>
      </c>
      <c r="AL2" s="37" t="s">
        <v>225</v>
      </c>
      <c r="AM2" s="39" t="s">
        <v>265</v>
      </c>
      <c r="AN2" s="39" t="s">
        <v>266</v>
      </c>
      <c r="AO2" s="40" t="s">
        <v>267</v>
      </c>
      <c r="AP2" s="40" t="s">
        <v>268</v>
      </c>
      <c r="AQ2" s="21" t="s">
        <v>269</v>
      </c>
      <c r="AR2" s="21" t="s">
        <v>12</v>
      </c>
      <c r="AS2" s="21" t="s">
        <v>225</v>
      </c>
      <c r="AT2" s="21" t="s">
        <v>270</v>
      </c>
    </row>
    <row r="3" spans="1:46" s="23" customFormat="1" ht="15" customHeight="1">
      <c r="A3" s="11">
        <v>1</v>
      </c>
      <c r="B3" s="12">
        <v>1614</v>
      </c>
      <c r="C3" s="12" t="s">
        <v>271</v>
      </c>
      <c r="D3" s="11" t="s">
        <v>15</v>
      </c>
      <c r="E3" s="13" t="s">
        <v>272</v>
      </c>
      <c r="F3" s="11" t="s">
        <v>273</v>
      </c>
      <c r="G3" s="12" t="s">
        <v>274</v>
      </c>
      <c r="H3" s="24" t="s">
        <v>275</v>
      </c>
      <c r="I3" s="13" t="s">
        <v>276</v>
      </c>
      <c r="J3" s="13" t="s">
        <v>277</v>
      </c>
      <c r="K3" s="24" t="s">
        <v>278</v>
      </c>
      <c r="L3" s="29" t="s">
        <v>279</v>
      </c>
      <c r="M3" s="13" t="s">
        <v>248</v>
      </c>
      <c r="N3" s="13" t="s">
        <v>280</v>
      </c>
      <c r="O3" s="13" t="s">
        <v>4</v>
      </c>
      <c r="P3" s="12" t="s">
        <v>281</v>
      </c>
      <c r="Q3" s="24" t="s">
        <v>282</v>
      </c>
      <c r="R3" s="12">
        <v>211720</v>
      </c>
      <c r="S3" s="24"/>
      <c r="T3" s="24"/>
      <c r="U3" s="24"/>
      <c r="V3" s="24" t="s">
        <v>283</v>
      </c>
      <c r="W3" s="24"/>
      <c r="X3" s="24"/>
      <c r="Y3" s="24"/>
      <c r="Z3" s="24"/>
      <c r="AA3" s="24"/>
      <c r="AB3" s="13" t="s">
        <v>4</v>
      </c>
      <c r="AC3" s="12" t="s">
        <v>281</v>
      </c>
      <c r="AD3" s="24" t="s">
        <v>282</v>
      </c>
      <c r="AE3" s="12">
        <v>211720</v>
      </c>
      <c r="AF3" s="13" t="s">
        <v>284</v>
      </c>
      <c r="AG3" s="13" t="s">
        <v>285</v>
      </c>
      <c r="AH3" s="13" t="s">
        <v>286</v>
      </c>
      <c r="AI3" s="24" t="s">
        <v>287</v>
      </c>
      <c r="AJ3" s="24">
        <v>237</v>
      </c>
      <c r="AK3" s="24" t="s">
        <v>288</v>
      </c>
      <c r="AL3" s="24" t="s">
        <v>289</v>
      </c>
      <c r="AM3" s="24" t="s">
        <v>290</v>
      </c>
      <c r="AN3" s="24">
        <v>43682</v>
      </c>
      <c r="AO3" s="24" t="s">
        <v>281</v>
      </c>
      <c r="AP3" s="24">
        <v>211726</v>
      </c>
      <c r="AQ3" s="24" t="s">
        <v>4</v>
      </c>
      <c r="AR3" s="24" t="s">
        <v>291</v>
      </c>
      <c r="AS3" s="24" t="s">
        <v>291</v>
      </c>
      <c r="AT3" s="24"/>
    </row>
    <row r="4" spans="1:46" s="23" customFormat="1" ht="15" customHeight="1">
      <c r="A4" s="11">
        <v>2</v>
      </c>
      <c r="B4" s="12">
        <v>9027</v>
      </c>
      <c r="C4" s="12"/>
      <c r="D4" s="11" t="s">
        <v>292</v>
      </c>
      <c r="E4" s="13" t="s">
        <v>293</v>
      </c>
      <c r="F4" s="11" t="s">
        <v>294</v>
      </c>
      <c r="G4" s="12" t="s">
        <v>295</v>
      </c>
      <c r="H4" s="24" t="s">
        <v>275</v>
      </c>
      <c r="I4" s="11" t="s">
        <v>296</v>
      </c>
      <c r="J4" s="11" t="s">
        <v>297</v>
      </c>
      <c r="K4" s="24" t="s">
        <v>298</v>
      </c>
      <c r="L4" s="11" t="s">
        <v>299</v>
      </c>
      <c r="M4" s="13"/>
      <c r="N4" s="13" t="s">
        <v>300</v>
      </c>
      <c r="O4" s="13" t="s">
        <v>4</v>
      </c>
      <c r="P4" s="12" t="s">
        <v>301</v>
      </c>
      <c r="Q4" s="24" t="s">
        <v>282</v>
      </c>
      <c r="R4" s="12">
        <v>210450</v>
      </c>
      <c r="S4" s="24"/>
      <c r="T4" s="24"/>
      <c r="U4" s="24"/>
      <c r="V4" s="24" t="s">
        <v>283</v>
      </c>
      <c r="W4" s="24"/>
      <c r="X4" s="24"/>
      <c r="Y4" s="24"/>
      <c r="Z4" s="24"/>
      <c r="AA4" s="24"/>
      <c r="AB4" s="13" t="s">
        <v>4</v>
      </c>
      <c r="AC4" s="12" t="s">
        <v>301</v>
      </c>
      <c r="AD4" s="24" t="s">
        <v>282</v>
      </c>
      <c r="AE4" s="12">
        <v>210450</v>
      </c>
      <c r="AF4" s="13" t="s">
        <v>284</v>
      </c>
      <c r="AG4" s="13" t="s">
        <v>302</v>
      </c>
      <c r="AH4" s="13" t="s">
        <v>286</v>
      </c>
      <c r="AI4" s="25" t="s">
        <v>303</v>
      </c>
      <c r="AJ4" s="24">
        <v>9</v>
      </c>
      <c r="AK4" s="24" t="s">
        <v>304</v>
      </c>
      <c r="AL4" s="24" t="s">
        <v>305</v>
      </c>
      <c r="AM4" s="24" t="s">
        <v>306</v>
      </c>
      <c r="AN4" s="24">
        <v>6655</v>
      </c>
      <c r="AO4" s="24" t="s">
        <v>301</v>
      </c>
      <c r="AP4" s="24">
        <v>210456</v>
      </c>
      <c r="AQ4" s="24" t="s">
        <v>4</v>
      </c>
      <c r="AR4" s="24" t="s">
        <v>291</v>
      </c>
      <c r="AS4" s="24" t="s">
        <v>291</v>
      </c>
      <c r="AT4" s="24"/>
    </row>
    <row r="5" spans="1:46" s="23" customFormat="1" ht="15" customHeight="1">
      <c r="A5" s="11">
        <v>3</v>
      </c>
      <c r="B5" s="12">
        <v>9335</v>
      </c>
      <c r="C5" s="12" t="s">
        <v>271</v>
      </c>
      <c r="D5" s="11" t="s">
        <v>14</v>
      </c>
      <c r="E5" s="13" t="s">
        <v>307</v>
      </c>
      <c r="F5" s="11" t="s">
        <v>308</v>
      </c>
      <c r="G5" s="12" t="s">
        <v>309</v>
      </c>
      <c r="H5" s="24" t="s">
        <v>275</v>
      </c>
      <c r="I5" s="13" t="s">
        <v>310</v>
      </c>
      <c r="J5" s="13" t="s">
        <v>311</v>
      </c>
      <c r="K5" s="24" t="s">
        <v>312</v>
      </c>
      <c r="L5" s="13" t="s">
        <v>313</v>
      </c>
      <c r="M5" s="13"/>
      <c r="N5" s="13" t="s">
        <v>314</v>
      </c>
      <c r="O5" s="13" t="s">
        <v>3</v>
      </c>
      <c r="P5" s="12" t="s">
        <v>315</v>
      </c>
      <c r="Q5" s="24" t="s">
        <v>282</v>
      </c>
      <c r="R5" s="12">
        <v>15167</v>
      </c>
      <c r="S5" s="13" t="s">
        <v>3</v>
      </c>
      <c r="T5" s="12" t="s">
        <v>315</v>
      </c>
      <c r="U5" s="24" t="s">
        <v>282</v>
      </c>
      <c r="V5" s="12">
        <v>15167</v>
      </c>
      <c r="W5" s="13" t="s">
        <v>316</v>
      </c>
      <c r="X5" s="13" t="s">
        <v>317</v>
      </c>
      <c r="Y5" s="13" t="s">
        <v>318</v>
      </c>
      <c r="Z5" s="24" t="s">
        <v>319</v>
      </c>
      <c r="AA5" s="24" t="s">
        <v>320</v>
      </c>
      <c r="AB5" s="24"/>
      <c r="AC5" s="24"/>
      <c r="AD5" s="24"/>
      <c r="AE5" s="24" t="s">
        <v>321</v>
      </c>
      <c r="AF5" s="24"/>
      <c r="AG5" s="24"/>
      <c r="AH5" s="24"/>
      <c r="AI5" s="24"/>
      <c r="AJ5" s="24"/>
      <c r="AK5" s="24" t="s">
        <v>322</v>
      </c>
      <c r="AL5" s="24" t="s">
        <v>323</v>
      </c>
      <c r="AM5" s="24" t="s">
        <v>324</v>
      </c>
      <c r="AN5" s="24">
        <v>39499</v>
      </c>
      <c r="AO5" s="24" t="s">
        <v>325</v>
      </c>
      <c r="AP5" s="24">
        <v>15168</v>
      </c>
      <c r="AQ5" s="24" t="s">
        <v>12</v>
      </c>
      <c r="AR5" s="24" t="s">
        <v>12</v>
      </c>
      <c r="AS5" s="24" t="s">
        <v>326</v>
      </c>
      <c r="AT5" s="24"/>
    </row>
    <row r="6" spans="1:46" s="23" customFormat="1" ht="15" customHeight="1">
      <c r="A6" s="11">
        <v>4</v>
      </c>
      <c r="B6" s="12">
        <v>7962</v>
      </c>
      <c r="C6" s="12" t="s">
        <v>271</v>
      </c>
      <c r="D6" s="11" t="s">
        <v>2</v>
      </c>
      <c r="E6" s="13" t="s">
        <v>327</v>
      </c>
      <c r="F6" s="11" t="s">
        <v>328</v>
      </c>
      <c r="G6" s="12" t="s">
        <v>329</v>
      </c>
      <c r="H6" s="24" t="s">
        <v>275</v>
      </c>
      <c r="I6" s="13" t="s">
        <v>330</v>
      </c>
      <c r="J6" s="13" t="s">
        <v>331</v>
      </c>
      <c r="K6" s="24" t="s">
        <v>332</v>
      </c>
      <c r="L6" s="29" t="s">
        <v>333</v>
      </c>
      <c r="M6" s="13" t="s">
        <v>248</v>
      </c>
      <c r="N6" s="13" t="s">
        <v>334</v>
      </c>
      <c r="O6" s="13" t="s">
        <v>3</v>
      </c>
      <c r="P6" s="12" t="s">
        <v>335</v>
      </c>
      <c r="Q6" s="24" t="s">
        <v>336</v>
      </c>
      <c r="R6" s="12">
        <v>15013</v>
      </c>
      <c r="S6" s="13" t="s">
        <v>3</v>
      </c>
      <c r="T6" s="12" t="s">
        <v>335</v>
      </c>
      <c r="U6" s="24" t="s">
        <v>336</v>
      </c>
      <c r="V6" s="12">
        <v>15013</v>
      </c>
      <c r="W6" s="13" t="s">
        <v>316</v>
      </c>
      <c r="X6" s="13" t="s">
        <v>337</v>
      </c>
      <c r="Y6" s="13" t="s">
        <v>318</v>
      </c>
      <c r="Z6" s="24" t="s">
        <v>319</v>
      </c>
      <c r="AA6" s="24" t="s">
        <v>338</v>
      </c>
      <c r="AB6" s="24"/>
      <c r="AC6" s="24"/>
      <c r="AD6" s="24"/>
      <c r="AE6" s="24" t="s">
        <v>321</v>
      </c>
      <c r="AF6" s="24"/>
      <c r="AG6" s="24"/>
      <c r="AH6" s="24"/>
      <c r="AI6" s="24"/>
      <c r="AJ6" s="24"/>
      <c r="AK6" s="24" t="s">
        <v>322</v>
      </c>
      <c r="AL6" s="24" t="s">
        <v>339</v>
      </c>
      <c r="AM6" s="24" t="s">
        <v>340</v>
      </c>
      <c r="AN6" s="24">
        <v>44799</v>
      </c>
      <c r="AO6" s="24" t="s">
        <v>341</v>
      </c>
      <c r="AP6" s="24">
        <v>15014</v>
      </c>
      <c r="AQ6" s="24" t="s">
        <v>342</v>
      </c>
      <c r="AR6" s="24" t="s">
        <v>291</v>
      </c>
      <c r="AS6" s="24" t="s">
        <v>291</v>
      </c>
      <c r="AT6" s="24"/>
    </row>
    <row r="7" spans="1:46" s="23" customFormat="1" ht="15" customHeight="1">
      <c r="A7" s="11">
        <v>5</v>
      </c>
      <c r="B7" s="12">
        <v>8462</v>
      </c>
      <c r="C7" s="12"/>
      <c r="D7" s="11" t="s">
        <v>343</v>
      </c>
      <c r="E7" s="13" t="s">
        <v>344</v>
      </c>
      <c r="F7" s="11" t="s">
        <v>345</v>
      </c>
      <c r="G7" s="12" t="s">
        <v>346</v>
      </c>
      <c r="H7" s="24" t="s">
        <v>275</v>
      </c>
      <c r="I7" s="11" t="s">
        <v>347</v>
      </c>
      <c r="J7" s="11" t="s">
        <v>348</v>
      </c>
      <c r="K7" s="24" t="s">
        <v>349</v>
      </c>
      <c r="L7" s="11" t="s">
        <v>350</v>
      </c>
      <c r="M7" s="13"/>
      <c r="N7" s="13" t="s">
        <v>351</v>
      </c>
      <c r="O7" s="13" t="s">
        <v>4</v>
      </c>
      <c r="P7" s="12" t="s">
        <v>352</v>
      </c>
      <c r="Q7" s="24" t="s">
        <v>282</v>
      </c>
      <c r="R7" s="12">
        <v>211510</v>
      </c>
      <c r="S7" s="24"/>
      <c r="T7" s="24"/>
      <c r="U7" s="24"/>
      <c r="V7" s="24" t="s">
        <v>283</v>
      </c>
      <c r="W7" s="24"/>
      <c r="X7" s="24"/>
      <c r="Y7" s="24"/>
      <c r="Z7" s="24"/>
      <c r="AA7" s="24"/>
      <c r="AB7" s="13" t="s">
        <v>4</v>
      </c>
      <c r="AC7" s="12" t="s">
        <v>352</v>
      </c>
      <c r="AD7" s="24" t="s">
        <v>282</v>
      </c>
      <c r="AE7" s="12">
        <v>211510</v>
      </c>
      <c r="AF7" s="13" t="s">
        <v>284</v>
      </c>
      <c r="AG7" s="13" t="s">
        <v>353</v>
      </c>
      <c r="AH7" s="13" t="s">
        <v>286</v>
      </c>
      <c r="AI7" s="25" t="s">
        <v>303</v>
      </c>
      <c r="AJ7" s="24">
        <v>10</v>
      </c>
      <c r="AK7" s="24" t="s">
        <v>354</v>
      </c>
      <c r="AL7" s="24" t="s">
        <v>355</v>
      </c>
      <c r="AM7" s="24" t="s">
        <v>356</v>
      </c>
      <c r="AN7" s="24">
        <v>42244</v>
      </c>
      <c r="AO7" s="24" t="s">
        <v>352</v>
      </c>
      <c r="AP7" s="24">
        <v>211516</v>
      </c>
      <c r="AQ7" s="24" t="s">
        <v>4</v>
      </c>
      <c r="AR7" s="24" t="s">
        <v>291</v>
      </c>
      <c r="AS7" s="24" t="s">
        <v>291</v>
      </c>
      <c r="AT7" s="24"/>
    </row>
    <row r="8" spans="1:46" s="23" customFormat="1" ht="15" customHeight="1">
      <c r="A8" s="11">
        <v>6</v>
      </c>
      <c r="B8" s="12">
        <v>8914</v>
      </c>
      <c r="C8" s="12" t="s">
        <v>271</v>
      </c>
      <c r="D8" s="11" t="s">
        <v>13</v>
      </c>
      <c r="E8" s="13" t="s">
        <v>357</v>
      </c>
      <c r="F8" s="11" t="s">
        <v>358</v>
      </c>
      <c r="G8" s="12" t="s">
        <v>359</v>
      </c>
      <c r="H8" s="24" t="s">
        <v>275</v>
      </c>
      <c r="I8" s="13" t="s">
        <v>360</v>
      </c>
      <c r="J8" s="13" t="s">
        <v>361</v>
      </c>
      <c r="K8" s="24" t="s">
        <v>362</v>
      </c>
      <c r="L8" s="29" t="s">
        <v>363</v>
      </c>
      <c r="M8" s="13" t="s">
        <v>248</v>
      </c>
      <c r="N8" s="13" t="s">
        <v>364</v>
      </c>
      <c r="O8" s="13" t="s">
        <v>3</v>
      </c>
      <c r="P8" s="12" t="s">
        <v>365</v>
      </c>
      <c r="Q8" s="24" t="s">
        <v>366</v>
      </c>
      <c r="R8" s="12">
        <v>15021</v>
      </c>
      <c r="S8" s="13" t="s">
        <v>3</v>
      </c>
      <c r="T8" s="12" t="s">
        <v>365</v>
      </c>
      <c r="U8" s="24" t="s">
        <v>366</v>
      </c>
      <c r="V8" s="12">
        <v>15021</v>
      </c>
      <c r="W8" s="13" t="s">
        <v>316</v>
      </c>
      <c r="X8" s="13" t="s">
        <v>367</v>
      </c>
      <c r="Y8" s="13" t="s">
        <v>318</v>
      </c>
      <c r="Z8" s="24" t="s">
        <v>319</v>
      </c>
      <c r="AA8" s="24" t="s">
        <v>368</v>
      </c>
      <c r="AB8" s="24"/>
      <c r="AC8" s="24"/>
      <c r="AD8" s="24"/>
      <c r="AE8" s="24" t="s">
        <v>321</v>
      </c>
      <c r="AF8" s="24"/>
      <c r="AG8" s="24"/>
      <c r="AH8" s="24"/>
      <c r="AI8" s="24"/>
      <c r="AJ8" s="24"/>
      <c r="AK8" s="24" t="s">
        <v>322</v>
      </c>
      <c r="AL8" s="24" t="s">
        <v>369</v>
      </c>
      <c r="AM8" s="24" t="s">
        <v>370</v>
      </c>
      <c r="AN8" s="24">
        <v>38292</v>
      </c>
      <c r="AO8" s="24" t="s">
        <v>371</v>
      </c>
      <c r="AP8" s="24">
        <v>15022</v>
      </c>
      <c r="AQ8" s="24" t="s">
        <v>342</v>
      </c>
      <c r="AR8" s="24" t="s">
        <v>291</v>
      </c>
      <c r="AS8" s="24" t="s">
        <v>291</v>
      </c>
      <c r="AT8" s="24"/>
    </row>
    <row r="9" spans="1:46" s="23" customFormat="1" ht="15" customHeight="1">
      <c r="A9" s="11">
        <v>7</v>
      </c>
      <c r="B9" s="12">
        <v>9334</v>
      </c>
      <c r="C9" s="12" t="s">
        <v>271</v>
      </c>
      <c r="D9" s="11" t="s">
        <v>11</v>
      </c>
      <c r="E9" s="13" t="s">
        <v>372</v>
      </c>
      <c r="F9" s="11" t="s">
        <v>373</v>
      </c>
      <c r="G9" s="12" t="s">
        <v>374</v>
      </c>
      <c r="H9" s="24" t="s">
        <v>275</v>
      </c>
      <c r="I9" s="13" t="s">
        <v>375</v>
      </c>
      <c r="J9" s="13" t="s">
        <v>376</v>
      </c>
      <c r="K9" s="24" t="s">
        <v>377</v>
      </c>
      <c r="L9" s="29" t="s">
        <v>378</v>
      </c>
      <c r="M9" s="13" t="s">
        <v>248</v>
      </c>
      <c r="N9" s="13" t="s">
        <v>379</v>
      </c>
      <c r="O9" s="13" t="s">
        <v>4</v>
      </c>
      <c r="P9" s="12" t="s">
        <v>380</v>
      </c>
      <c r="Q9" s="24" t="s">
        <v>381</v>
      </c>
      <c r="R9" s="12">
        <v>214920</v>
      </c>
      <c r="S9" s="24"/>
      <c r="T9" s="24"/>
      <c r="U9" s="24"/>
      <c r="V9" s="24" t="s">
        <v>283</v>
      </c>
      <c r="W9" s="24"/>
      <c r="X9" s="24"/>
      <c r="Y9" s="24"/>
      <c r="Z9" s="24"/>
      <c r="AA9" s="24"/>
      <c r="AB9" s="13" t="s">
        <v>4</v>
      </c>
      <c r="AC9" s="12" t="s">
        <v>380</v>
      </c>
      <c r="AD9" s="24" t="s">
        <v>381</v>
      </c>
      <c r="AE9" s="12">
        <v>214920</v>
      </c>
      <c r="AF9" s="13" t="s">
        <v>284</v>
      </c>
      <c r="AG9" s="13" t="s">
        <v>382</v>
      </c>
      <c r="AH9" s="13" t="s">
        <v>286</v>
      </c>
      <c r="AI9" s="24" t="s">
        <v>287</v>
      </c>
      <c r="AJ9" s="24">
        <v>173</v>
      </c>
      <c r="AK9" s="24" t="s">
        <v>383</v>
      </c>
      <c r="AL9" s="24" t="s">
        <v>384</v>
      </c>
      <c r="AM9" s="24" t="s">
        <v>385</v>
      </c>
      <c r="AN9" s="24">
        <v>42682</v>
      </c>
      <c r="AO9" s="24" t="s">
        <v>380</v>
      </c>
      <c r="AP9" s="24">
        <v>214926</v>
      </c>
      <c r="AQ9" s="24" t="s">
        <v>12</v>
      </c>
      <c r="AR9" s="24" t="s">
        <v>12</v>
      </c>
      <c r="AS9" s="24" t="s">
        <v>386</v>
      </c>
      <c r="AT9" s="24"/>
    </row>
    <row r="10" spans="1:46" s="23" customFormat="1" ht="15" customHeight="1">
      <c r="A10" s="11">
        <v>8</v>
      </c>
      <c r="B10" s="12">
        <v>8930</v>
      </c>
      <c r="C10" s="12" t="s">
        <v>271</v>
      </c>
      <c r="D10" s="11" t="s">
        <v>5</v>
      </c>
      <c r="E10" s="13" t="s">
        <v>387</v>
      </c>
      <c r="F10" s="11" t="s">
        <v>388</v>
      </c>
      <c r="G10" s="12" t="s">
        <v>389</v>
      </c>
      <c r="H10" s="24" t="s">
        <v>275</v>
      </c>
      <c r="I10" s="13" t="s">
        <v>390</v>
      </c>
      <c r="J10" s="13" t="s">
        <v>391</v>
      </c>
      <c r="K10" s="24" t="s">
        <v>392</v>
      </c>
      <c r="L10" s="29" t="s">
        <v>393</v>
      </c>
      <c r="M10" s="13" t="s">
        <v>248</v>
      </c>
      <c r="N10" s="13" t="s">
        <v>394</v>
      </c>
      <c r="O10" s="13" t="s">
        <v>3</v>
      </c>
      <c r="P10" s="12" t="s">
        <v>395</v>
      </c>
      <c r="Q10" s="24" t="s">
        <v>396</v>
      </c>
      <c r="R10" s="12">
        <v>15159</v>
      </c>
      <c r="S10" s="13" t="s">
        <v>3</v>
      </c>
      <c r="T10" s="12" t="s">
        <v>395</v>
      </c>
      <c r="U10" s="24" t="s">
        <v>396</v>
      </c>
      <c r="V10" s="12">
        <v>15159</v>
      </c>
      <c r="W10" s="13" t="s">
        <v>316</v>
      </c>
      <c r="X10" s="13" t="s">
        <v>397</v>
      </c>
      <c r="Y10" s="13" t="s">
        <v>318</v>
      </c>
      <c r="Z10" s="24" t="s">
        <v>319</v>
      </c>
      <c r="AA10" s="24" t="s">
        <v>398</v>
      </c>
      <c r="AB10" s="24"/>
      <c r="AC10" s="24"/>
      <c r="AD10" s="24"/>
      <c r="AE10" s="24" t="s">
        <v>321</v>
      </c>
      <c r="AF10" s="24"/>
      <c r="AG10" s="24"/>
      <c r="AH10" s="24"/>
      <c r="AI10" s="24"/>
      <c r="AJ10" s="24"/>
      <c r="AK10" s="24" t="s">
        <v>322</v>
      </c>
      <c r="AL10" s="24" t="s">
        <v>399</v>
      </c>
      <c r="AM10" s="24" t="s">
        <v>400</v>
      </c>
      <c r="AN10" s="24">
        <v>38253</v>
      </c>
      <c r="AO10" s="24" t="s">
        <v>401</v>
      </c>
      <c r="AP10" s="24">
        <v>15160</v>
      </c>
      <c r="AQ10" s="24" t="s">
        <v>342</v>
      </c>
      <c r="AR10" s="24" t="s">
        <v>291</v>
      </c>
      <c r="AS10" s="24" t="s">
        <v>291</v>
      </c>
      <c r="AT10" s="24"/>
    </row>
    <row r="11" spans="1:46" s="23" customFormat="1" ht="15" customHeight="1">
      <c r="A11" s="11">
        <v>9</v>
      </c>
      <c r="B11" s="12">
        <v>8943</v>
      </c>
      <c r="C11" s="12" t="s">
        <v>271</v>
      </c>
      <c r="D11" s="11" t="s">
        <v>9</v>
      </c>
      <c r="E11" s="13" t="s">
        <v>402</v>
      </c>
      <c r="F11" s="11" t="s">
        <v>403</v>
      </c>
      <c r="G11" s="12" t="s">
        <v>404</v>
      </c>
      <c r="H11" s="24" t="s">
        <v>275</v>
      </c>
      <c r="I11" s="13" t="s">
        <v>405</v>
      </c>
      <c r="J11" s="13" t="s">
        <v>406</v>
      </c>
      <c r="K11" s="24" t="s">
        <v>407</v>
      </c>
      <c r="L11" s="29" t="s">
        <v>408</v>
      </c>
      <c r="M11" s="13" t="s">
        <v>248</v>
      </c>
      <c r="N11" s="13" t="s">
        <v>409</v>
      </c>
      <c r="O11" s="13" t="s">
        <v>3</v>
      </c>
      <c r="P11" s="12" t="s">
        <v>410</v>
      </c>
      <c r="Q11" s="24" t="s">
        <v>411</v>
      </c>
      <c r="R11" s="12">
        <v>15093</v>
      </c>
      <c r="S11" s="13" t="s">
        <v>3</v>
      </c>
      <c r="T11" s="12" t="s">
        <v>410</v>
      </c>
      <c r="U11" s="24" t="s">
        <v>411</v>
      </c>
      <c r="V11" s="12">
        <v>15093</v>
      </c>
      <c r="W11" s="13" t="s">
        <v>316</v>
      </c>
      <c r="X11" s="13" t="s">
        <v>412</v>
      </c>
      <c r="Y11" s="13" t="s">
        <v>318</v>
      </c>
      <c r="Z11" s="24" t="s">
        <v>319</v>
      </c>
      <c r="AA11" s="24" t="s">
        <v>413</v>
      </c>
      <c r="AB11" s="24"/>
      <c r="AC11" s="24"/>
      <c r="AD11" s="24"/>
      <c r="AE11" s="24" t="s">
        <v>321</v>
      </c>
      <c r="AF11" s="24"/>
      <c r="AG11" s="24"/>
      <c r="AH11" s="24"/>
      <c r="AI11" s="24"/>
      <c r="AJ11" s="24"/>
      <c r="AK11" s="24" t="s">
        <v>322</v>
      </c>
      <c r="AL11" s="24" t="s">
        <v>414</v>
      </c>
      <c r="AM11" s="24" t="s">
        <v>415</v>
      </c>
      <c r="AN11" s="24">
        <v>41074</v>
      </c>
      <c r="AO11" s="24" t="s">
        <v>416</v>
      </c>
      <c r="AP11" s="24">
        <v>15094</v>
      </c>
      <c r="AQ11" s="24" t="s">
        <v>342</v>
      </c>
      <c r="AR11" s="24" t="s">
        <v>291</v>
      </c>
      <c r="AS11" s="24" t="s">
        <v>291</v>
      </c>
      <c r="AT11" s="24"/>
    </row>
    <row r="12" spans="1:46" s="23" customFormat="1" ht="15" customHeight="1">
      <c r="A12" s="11">
        <v>10</v>
      </c>
      <c r="B12" s="12">
        <v>8986</v>
      </c>
      <c r="C12" s="12" t="s">
        <v>271</v>
      </c>
      <c r="D12" s="11" t="s">
        <v>10</v>
      </c>
      <c r="E12" s="13" t="s">
        <v>417</v>
      </c>
      <c r="F12" s="11" t="s">
        <v>418</v>
      </c>
      <c r="G12" s="12" t="s">
        <v>419</v>
      </c>
      <c r="H12" s="24" t="s">
        <v>275</v>
      </c>
      <c r="I12" s="13" t="s">
        <v>420</v>
      </c>
      <c r="J12" s="13" t="s">
        <v>421</v>
      </c>
      <c r="K12" s="24" t="s">
        <v>422</v>
      </c>
      <c r="L12" s="29" t="s">
        <v>423</v>
      </c>
      <c r="M12" s="13" t="s">
        <v>248</v>
      </c>
      <c r="N12" s="13" t="s">
        <v>424</v>
      </c>
      <c r="O12" s="13" t="s">
        <v>3</v>
      </c>
      <c r="P12" s="12" t="s">
        <v>425</v>
      </c>
      <c r="Q12" s="24" t="s">
        <v>336</v>
      </c>
      <c r="R12" s="12">
        <v>15017</v>
      </c>
      <c r="S12" s="13" t="s">
        <v>3</v>
      </c>
      <c r="T12" s="12" t="s">
        <v>425</v>
      </c>
      <c r="U12" s="24" t="s">
        <v>336</v>
      </c>
      <c r="V12" s="12">
        <v>15017</v>
      </c>
      <c r="W12" s="13" t="s">
        <v>316</v>
      </c>
      <c r="X12" s="13" t="s">
        <v>426</v>
      </c>
      <c r="Y12" s="13" t="s">
        <v>318</v>
      </c>
      <c r="Z12" s="24" t="s">
        <v>319</v>
      </c>
      <c r="AA12" s="24" t="s">
        <v>427</v>
      </c>
      <c r="AB12" s="24"/>
      <c r="AC12" s="24"/>
      <c r="AD12" s="24"/>
      <c r="AE12" s="24" t="s">
        <v>321</v>
      </c>
      <c r="AF12" s="24"/>
      <c r="AG12" s="24"/>
      <c r="AH12" s="24"/>
      <c r="AI12" s="24"/>
      <c r="AJ12" s="24"/>
      <c r="AK12" s="24" t="s">
        <v>322</v>
      </c>
      <c r="AL12" s="24" t="s">
        <v>428</v>
      </c>
      <c r="AM12" s="24" t="s">
        <v>429</v>
      </c>
      <c r="AN12" s="24">
        <v>39873</v>
      </c>
      <c r="AO12" s="24" t="s">
        <v>430</v>
      </c>
      <c r="AP12" s="24">
        <v>15018</v>
      </c>
      <c r="AQ12" s="24" t="s">
        <v>342</v>
      </c>
      <c r="AR12" s="24" t="s">
        <v>291</v>
      </c>
      <c r="AS12" s="24" t="s">
        <v>291</v>
      </c>
      <c r="AT12" s="24"/>
    </row>
    <row r="13" spans="1:46" s="23" customFormat="1" ht="15" customHeight="1">
      <c r="A13" s="11">
        <v>11</v>
      </c>
      <c r="B13" s="12">
        <v>9316</v>
      </c>
      <c r="C13" s="12" t="s">
        <v>271</v>
      </c>
      <c r="D13" s="11" t="s">
        <v>8</v>
      </c>
      <c r="E13" s="13" t="s">
        <v>431</v>
      </c>
      <c r="F13" s="11" t="s">
        <v>432</v>
      </c>
      <c r="G13" s="12" t="s">
        <v>433</v>
      </c>
      <c r="H13" s="24" t="s">
        <v>275</v>
      </c>
      <c r="I13" s="13" t="s">
        <v>434</v>
      </c>
      <c r="J13" s="13" t="s">
        <v>435</v>
      </c>
      <c r="K13" s="24" t="s">
        <v>436</v>
      </c>
      <c r="L13" s="29" t="s">
        <v>437</v>
      </c>
      <c r="M13" s="13" t="s">
        <v>248</v>
      </c>
      <c r="N13" s="13" t="s">
        <v>438</v>
      </c>
      <c r="O13" s="13" t="s">
        <v>3</v>
      </c>
      <c r="P13" s="12" t="s">
        <v>439</v>
      </c>
      <c r="Q13" s="24" t="s">
        <v>336</v>
      </c>
      <c r="R13" s="12">
        <v>15009</v>
      </c>
      <c r="S13" s="13" t="s">
        <v>3</v>
      </c>
      <c r="T13" s="12" t="s">
        <v>439</v>
      </c>
      <c r="U13" s="24" t="s">
        <v>336</v>
      </c>
      <c r="V13" s="12">
        <v>15009</v>
      </c>
      <c r="W13" s="13" t="s">
        <v>316</v>
      </c>
      <c r="X13" s="13" t="s">
        <v>440</v>
      </c>
      <c r="Y13" s="13" t="s">
        <v>318</v>
      </c>
      <c r="Z13" s="24" t="s">
        <v>319</v>
      </c>
      <c r="AA13" s="24" t="s">
        <v>441</v>
      </c>
      <c r="AB13" s="24"/>
      <c r="AC13" s="24"/>
      <c r="AD13" s="24"/>
      <c r="AE13" s="24" t="s">
        <v>321</v>
      </c>
      <c r="AF13" s="24"/>
      <c r="AG13" s="24"/>
      <c r="AH13" s="24"/>
      <c r="AI13" s="24"/>
      <c r="AJ13" s="24"/>
      <c r="AK13" s="24" t="s">
        <v>322</v>
      </c>
      <c r="AL13" s="24" t="s">
        <v>442</v>
      </c>
      <c r="AM13" s="24" t="s">
        <v>443</v>
      </c>
      <c r="AN13" s="24">
        <v>37496</v>
      </c>
      <c r="AO13" s="24" t="s">
        <v>444</v>
      </c>
      <c r="AP13" s="24">
        <v>15010</v>
      </c>
      <c r="AQ13" s="24" t="s">
        <v>342</v>
      </c>
      <c r="AR13" s="24" t="s">
        <v>291</v>
      </c>
      <c r="AS13" s="24" t="s">
        <v>291</v>
      </c>
      <c r="AT13" s="24"/>
    </row>
    <row r="14" spans="1:46" s="23" customFormat="1" ht="15" customHeight="1">
      <c r="A14" s="11">
        <v>12</v>
      </c>
      <c r="B14" s="12">
        <v>8976</v>
      </c>
      <c r="C14" s="12" t="s">
        <v>271</v>
      </c>
      <c r="D14" s="11" t="s">
        <v>6</v>
      </c>
      <c r="E14" s="13" t="s">
        <v>445</v>
      </c>
      <c r="F14" s="11" t="s">
        <v>446</v>
      </c>
      <c r="G14" s="12" t="s">
        <v>447</v>
      </c>
      <c r="H14" s="24" t="s">
        <v>275</v>
      </c>
      <c r="I14" s="13" t="s">
        <v>448</v>
      </c>
      <c r="J14" s="13" t="s">
        <v>449</v>
      </c>
      <c r="K14" s="24" t="s">
        <v>450</v>
      </c>
      <c r="L14" s="29" t="s">
        <v>451</v>
      </c>
      <c r="M14" s="13" t="s">
        <v>248</v>
      </c>
      <c r="N14" s="13" t="s">
        <v>452</v>
      </c>
      <c r="O14" s="13" t="s">
        <v>3</v>
      </c>
      <c r="P14" s="12" t="s">
        <v>453</v>
      </c>
      <c r="Q14" s="24" t="s">
        <v>282</v>
      </c>
      <c r="R14" s="12">
        <v>15025</v>
      </c>
      <c r="S14" s="13" t="s">
        <v>3</v>
      </c>
      <c r="T14" s="12" t="s">
        <v>453</v>
      </c>
      <c r="U14" s="24" t="s">
        <v>282</v>
      </c>
      <c r="V14" s="12">
        <v>15025</v>
      </c>
      <c r="W14" s="13" t="s">
        <v>316</v>
      </c>
      <c r="X14" s="13" t="s">
        <v>454</v>
      </c>
      <c r="Y14" s="13" t="s">
        <v>318</v>
      </c>
      <c r="Z14" s="24" t="s">
        <v>319</v>
      </c>
      <c r="AA14" s="24" t="s">
        <v>455</v>
      </c>
      <c r="AB14" s="24"/>
      <c r="AC14" s="24"/>
      <c r="AD14" s="24"/>
      <c r="AE14" s="24" t="s">
        <v>321</v>
      </c>
      <c r="AF14" s="24"/>
      <c r="AG14" s="24"/>
      <c r="AH14" s="24"/>
      <c r="AI14" s="24"/>
      <c r="AJ14" s="24"/>
      <c r="AK14" s="24" t="s">
        <v>322</v>
      </c>
      <c r="AL14" s="24" t="s">
        <v>456</v>
      </c>
      <c r="AM14" s="24" t="s">
        <v>457</v>
      </c>
      <c r="AN14" s="24">
        <v>36375</v>
      </c>
      <c r="AO14" s="24" t="s">
        <v>458</v>
      </c>
      <c r="AP14" s="24">
        <v>15026</v>
      </c>
      <c r="AQ14" s="24" t="s">
        <v>342</v>
      </c>
      <c r="AR14" s="24" t="s">
        <v>291</v>
      </c>
      <c r="AS14" s="24" t="s">
        <v>291</v>
      </c>
      <c r="AT14" s="24"/>
    </row>
    <row r="15" spans="1:46" s="23" customFormat="1" ht="15" customHeight="1">
      <c r="A15" s="11">
        <v>13</v>
      </c>
      <c r="B15" s="12">
        <v>9018</v>
      </c>
      <c r="C15" s="12" t="s">
        <v>271</v>
      </c>
      <c r="D15" s="11" t="s">
        <v>459</v>
      </c>
      <c r="E15" s="13" t="s">
        <v>460</v>
      </c>
      <c r="F15" s="11" t="s">
        <v>461</v>
      </c>
      <c r="G15" s="12" t="s">
        <v>462</v>
      </c>
      <c r="H15" s="24" t="s">
        <v>275</v>
      </c>
      <c r="I15" s="13" t="s">
        <v>463</v>
      </c>
      <c r="J15" s="13" t="s">
        <v>464</v>
      </c>
      <c r="K15" s="24" t="s">
        <v>465</v>
      </c>
      <c r="L15" s="13" t="s">
        <v>466</v>
      </c>
      <c r="M15" s="13"/>
      <c r="N15" s="13" t="s">
        <v>467</v>
      </c>
      <c r="O15" s="13" t="s">
        <v>3</v>
      </c>
      <c r="P15" s="12" t="s">
        <v>468</v>
      </c>
      <c r="Q15" s="24" t="s">
        <v>282</v>
      </c>
      <c r="R15" s="12">
        <v>15163</v>
      </c>
      <c r="S15" s="13" t="s">
        <v>3</v>
      </c>
      <c r="T15" s="12" t="s">
        <v>468</v>
      </c>
      <c r="U15" s="24" t="s">
        <v>282</v>
      </c>
      <c r="V15" s="12">
        <v>15163</v>
      </c>
      <c r="W15" s="13" t="s">
        <v>316</v>
      </c>
      <c r="X15" s="13" t="s">
        <v>469</v>
      </c>
      <c r="Y15" s="13" t="s">
        <v>318</v>
      </c>
      <c r="Z15" s="24" t="s">
        <v>319</v>
      </c>
      <c r="AA15" s="24" t="s">
        <v>470</v>
      </c>
      <c r="AB15" s="24"/>
      <c r="AC15" s="24"/>
      <c r="AD15" s="24"/>
      <c r="AE15" s="24" t="s">
        <v>321</v>
      </c>
      <c r="AF15" s="24"/>
      <c r="AG15" s="24"/>
      <c r="AH15" s="24"/>
      <c r="AI15" s="24"/>
      <c r="AJ15" s="24"/>
      <c r="AK15" s="24" t="s">
        <v>322</v>
      </c>
      <c r="AL15" s="24" t="s">
        <v>471</v>
      </c>
      <c r="AM15" s="24" t="s">
        <v>472</v>
      </c>
      <c r="AN15" s="24">
        <v>35883</v>
      </c>
      <c r="AO15" s="24" t="s">
        <v>473</v>
      </c>
      <c r="AP15" s="24">
        <v>15164</v>
      </c>
      <c r="AQ15" s="24" t="s">
        <v>342</v>
      </c>
      <c r="AR15" s="24" t="s">
        <v>291</v>
      </c>
      <c r="AS15" s="24" t="s">
        <v>291</v>
      </c>
      <c r="AT15" s="24"/>
    </row>
    <row r="16" spans="1:46" s="23" customFormat="1" ht="15" customHeight="1">
      <c r="A16" s="11">
        <v>14</v>
      </c>
      <c r="B16" s="12">
        <v>9019</v>
      </c>
      <c r="C16" s="12" t="s">
        <v>271</v>
      </c>
      <c r="D16" s="11" t="s">
        <v>474</v>
      </c>
      <c r="E16" s="13" t="s">
        <v>475</v>
      </c>
      <c r="F16" s="11" t="s">
        <v>476</v>
      </c>
      <c r="G16" s="12" t="s">
        <v>477</v>
      </c>
      <c r="H16" s="24" t="s">
        <v>275</v>
      </c>
      <c r="I16" s="13" t="s">
        <v>478</v>
      </c>
      <c r="J16" s="13" t="s">
        <v>479</v>
      </c>
      <c r="K16" s="24" t="s">
        <v>480</v>
      </c>
      <c r="L16" s="13" t="s">
        <v>481</v>
      </c>
      <c r="M16" s="13"/>
      <c r="N16" s="13" t="s">
        <v>482</v>
      </c>
      <c r="O16" s="13" t="s">
        <v>3</v>
      </c>
      <c r="P16" s="12" t="s">
        <v>483</v>
      </c>
      <c r="Q16" s="24" t="s">
        <v>484</v>
      </c>
      <c r="R16" s="12">
        <v>15155</v>
      </c>
      <c r="S16" s="13" t="s">
        <v>3</v>
      </c>
      <c r="T16" s="12" t="s">
        <v>483</v>
      </c>
      <c r="U16" s="24" t="s">
        <v>484</v>
      </c>
      <c r="V16" s="12">
        <v>15155</v>
      </c>
      <c r="W16" s="13" t="s">
        <v>316</v>
      </c>
      <c r="X16" s="13" t="s">
        <v>485</v>
      </c>
      <c r="Y16" s="13" t="s">
        <v>318</v>
      </c>
      <c r="Z16" s="24" t="s">
        <v>319</v>
      </c>
      <c r="AA16" s="24" t="s">
        <v>486</v>
      </c>
      <c r="AB16" s="24"/>
      <c r="AC16" s="24"/>
      <c r="AD16" s="24"/>
      <c r="AE16" s="24" t="s">
        <v>321</v>
      </c>
      <c r="AF16" s="24"/>
      <c r="AG16" s="24"/>
      <c r="AH16" s="24"/>
      <c r="AI16" s="24"/>
      <c r="AJ16" s="24"/>
      <c r="AK16" s="24" t="s">
        <v>322</v>
      </c>
      <c r="AL16" s="24" t="s">
        <v>487</v>
      </c>
      <c r="AM16" s="24" t="s">
        <v>488</v>
      </c>
      <c r="AN16" s="24">
        <v>26663</v>
      </c>
      <c r="AO16" s="24" t="s">
        <v>489</v>
      </c>
      <c r="AP16" s="24">
        <v>15156</v>
      </c>
      <c r="AQ16" s="24" t="s">
        <v>342</v>
      </c>
      <c r="AR16" s="24" t="s">
        <v>291</v>
      </c>
      <c r="AS16" s="24" t="s">
        <v>291</v>
      </c>
      <c r="AT16" s="24"/>
    </row>
    <row r="17" spans="1:46" s="23" customFormat="1" ht="15" customHeight="1">
      <c r="A17" s="11">
        <v>15</v>
      </c>
      <c r="B17" s="12">
        <v>9345</v>
      </c>
      <c r="C17" s="12" t="s">
        <v>271</v>
      </c>
      <c r="D17" s="11" t="s">
        <v>16</v>
      </c>
      <c r="E17" s="13" t="s">
        <v>490</v>
      </c>
      <c r="F17" s="11" t="s">
        <v>491</v>
      </c>
      <c r="G17" s="12" t="s">
        <v>492</v>
      </c>
      <c r="H17" s="24" t="s">
        <v>275</v>
      </c>
      <c r="I17" s="13" t="s">
        <v>493</v>
      </c>
      <c r="J17" s="13" t="s">
        <v>494</v>
      </c>
      <c r="K17" s="24" t="s">
        <v>495</v>
      </c>
      <c r="L17" s="29" t="s">
        <v>496</v>
      </c>
      <c r="M17" s="13" t="s">
        <v>248</v>
      </c>
      <c r="N17" s="13" t="s">
        <v>497</v>
      </c>
      <c r="O17" s="13" t="s">
        <v>3</v>
      </c>
      <c r="P17" s="12" t="s">
        <v>498</v>
      </c>
      <c r="Q17" s="24" t="s">
        <v>381</v>
      </c>
      <c r="R17" s="12">
        <v>15097</v>
      </c>
      <c r="S17" s="13" t="s">
        <v>3</v>
      </c>
      <c r="T17" s="12" t="s">
        <v>498</v>
      </c>
      <c r="U17" s="24" t="s">
        <v>381</v>
      </c>
      <c r="V17" s="12">
        <v>15097</v>
      </c>
      <c r="W17" s="13" t="s">
        <v>316</v>
      </c>
      <c r="X17" s="13" t="s">
        <v>499</v>
      </c>
      <c r="Y17" s="13" t="s">
        <v>318</v>
      </c>
      <c r="Z17" s="24" t="s">
        <v>319</v>
      </c>
      <c r="AA17" s="24" t="s">
        <v>500</v>
      </c>
      <c r="AB17" s="24"/>
      <c r="AC17" s="24"/>
      <c r="AD17" s="24"/>
      <c r="AE17" s="24" t="s">
        <v>321</v>
      </c>
      <c r="AF17" s="24"/>
      <c r="AG17" s="24"/>
      <c r="AH17" s="24"/>
      <c r="AI17" s="24"/>
      <c r="AJ17" s="24"/>
      <c r="AK17" s="24" t="s">
        <v>322</v>
      </c>
      <c r="AL17" s="24" t="s">
        <v>501</v>
      </c>
      <c r="AM17" s="24" t="s">
        <v>502</v>
      </c>
      <c r="AN17" s="24">
        <v>40408</v>
      </c>
      <c r="AO17" s="24" t="s">
        <v>503</v>
      </c>
      <c r="AP17" s="24">
        <v>15106</v>
      </c>
      <c r="AQ17" s="24" t="s">
        <v>342</v>
      </c>
      <c r="AR17" s="24" t="s">
        <v>291</v>
      </c>
      <c r="AS17" s="24" t="s">
        <v>291</v>
      </c>
      <c r="AT17" s="24"/>
    </row>
    <row r="18" spans="1:46" s="23" customFormat="1" ht="15" customHeight="1">
      <c r="A18" s="11">
        <v>16</v>
      </c>
      <c r="B18" s="12">
        <v>9386</v>
      </c>
      <c r="C18" s="12" t="s">
        <v>271</v>
      </c>
      <c r="D18" s="11" t="s">
        <v>17</v>
      </c>
      <c r="E18" s="13" t="s">
        <v>504</v>
      </c>
      <c r="F18" s="11" t="s">
        <v>505</v>
      </c>
      <c r="G18" s="12" t="s">
        <v>506</v>
      </c>
      <c r="H18" s="24" t="s">
        <v>275</v>
      </c>
      <c r="I18" s="13" t="s">
        <v>507</v>
      </c>
      <c r="J18" s="13" t="s">
        <v>508</v>
      </c>
      <c r="K18" s="24" t="s">
        <v>509</v>
      </c>
      <c r="L18" s="29" t="s">
        <v>510</v>
      </c>
      <c r="M18" s="13" t="s">
        <v>248</v>
      </c>
      <c r="N18" s="13" t="s">
        <v>511</v>
      </c>
      <c r="O18" s="13" t="s">
        <v>3</v>
      </c>
      <c r="P18" s="12" t="s">
        <v>512</v>
      </c>
      <c r="Q18" s="24" t="s">
        <v>282</v>
      </c>
      <c r="R18" s="12">
        <v>15151</v>
      </c>
      <c r="S18" s="13" t="s">
        <v>3</v>
      </c>
      <c r="T18" s="12" t="s">
        <v>512</v>
      </c>
      <c r="U18" s="24" t="s">
        <v>282</v>
      </c>
      <c r="V18" s="12">
        <v>15151</v>
      </c>
      <c r="W18" s="13" t="s">
        <v>316</v>
      </c>
      <c r="X18" s="13" t="s">
        <v>513</v>
      </c>
      <c r="Y18" s="13" t="s">
        <v>318</v>
      </c>
      <c r="Z18" s="24" t="s">
        <v>319</v>
      </c>
      <c r="AA18" s="24" t="s">
        <v>514</v>
      </c>
      <c r="AB18" s="24"/>
      <c r="AC18" s="24"/>
      <c r="AD18" s="24"/>
      <c r="AE18" s="24" t="s">
        <v>321</v>
      </c>
      <c r="AF18" s="24"/>
      <c r="AG18" s="24"/>
      <c r="AH18" s="24"/>
      <c r="AI18" s="24"/>
      <c r="AJ18" s="24"/>
      <c r="AK18" s="24" t="s">
        <v>322</v>
      </c>
      <c r="AL18" s="24" t="s">
        <v>515</v>
      </c>
      <c r="AM18" s="24" t="s">
        <v>516</v>
      </c>
      <c r="AN18" s="24">
        <v>36843</v>
      </c>
      <c r="AO18" s="24" t="s">
        <v>517</v>
      </c>
      <c r="AP18" s="24">
        <v>15152</v>
      </c>
      <c r="AQ18" s="24" t="s">
        <v>12</v>
      </c>
      <c r="AR18" s="24" t="s">
        <v>12</v>
      </c>
      <c r="AS18" s="24" t="s">
        <v>518</v>
      </c>
      <c r="AT18" s="24"/>
    </row>
    <row r="19" spans="1:46" s="23" customFormat="1" ht="15" customHeight="1">
      <c r="A19" s="11">
        <v>17</v>
      </c>
      <c r="B19" s="12">
        <v>9396</v>
      </c>
      <c r="C19" s="12" t="s">
        <v>271</v>
      </c>
      <c r="D19" s="11" t="s">
        <v>18</v>
      </c>
      <c r="E19" s="13" t="s">
        <v>519</v>
      </c>
      <c r="F19" s="11" t="s">
        <v>520</v>
      </c>
      <c r="G19" s="12" t="s">
        <v>521</v>
      </c>
      <c r="H19" s="24" t="s">
        <v>275</v>
      </c>
      <c r="I19" s="13" t="s">
        <v>522</v>
      </c>
      <c r="J19" s="13" t="s">
        <v>523</v>
      </c>
      <c r="K19" s="24" t="s">
        <v>524</v>
      </c>
      <c r="L19" s="29" t="s">
        <v>525</v>
      </c>
      <c r="M19" s="13" t="s">
        <v>248</v>
      </c>
      <c r="N19" s="13" t="s">
        <v>526</v>
      </c>
      <c r="O19" s="13" t="s">
        <v>4</v>
      </c>
      <c r="P19" s="12" t="s">
        <v>527</v>
      </c>
      <c r="Q19" s="24" t="s">
        <v>282</v>
      </c>
      <c r="R19" s="12">
        <v>212630</v>
      </c>
      <c r="S19" s="24"/>
      <c r="T19" s="24"/>
      <c r="U19" s="24"/>
      <c r="V19" s="24" t="s">
        <v>283</v>
      </c>
      <c r="W19" s="24"/>
      <c r="X19" s="24"/>
      <c r="Y19" s="24"/>
      <c r="Z19" s="24"/>
      <c r="AA19" s="24"/>
      <c r="AB19" s="13" t="s">
        <v>4</v>
      </c>
      <c r="AC19" s="12" t="s">
        <v>527</v>
      </c>
      <c r="AD19" s="24" t="s">
        <v>282</v>
      </c>
      <c r="AE19" s="12">
        <v>212630</v>
      </c>
      <c r="AF19" s="13" t="s">
        <v>284</v>
      </c>
      <c r="AG19" s="13" t="s">
        <v>528</v>
      </c>
      <c r="AH19" s="13" t="s">
        <v>286</v>
      </c>
      <c r="AI19" s="24" t="s">
        <v>287</v>
      </c>
      <c r="AJ19" s="24">
        <v>178</v>
      </c>
      <c r="AK19" s="24" t="s">
        <v>529</v>
      </c>
      <c r="AL19" s="24" t="s">
        <v>530</v>
      </c>
      <c r="AM19" s="24" t="s">
        <v>531</v>
      </c>
      <c r="AN19" s="24">
        <v>42913</v>
      </c>
      <c r="AO19" s="25" t="s">
        <v>532</v>
      </c>
      <c r="AP19" s="24">
        <v>212636</v>
      </c>
      <c r="AQ19" s="24" t="s">
        <v>4</v>
      </c>
      <c r="AR19" s="24" t="s">
        <v>291</v>
      </c>
      <c r="AS19" s="24" t="s">
        <v>291</v>
      </c>
      <c r="AT19" s="24"/>
    </row>
    <row r="20" spans="1:46" s="23" customFormat="1" ht="15" customHeight="1">
      <c r="A20" s="11">
        <v>18</v>
      </c>
      <c r="B20" s="12">
        <v>1643</v>
      </c>
      <c r="C20" s="12" t="s">
        <v>271</v>
      </c>
      <c r="D20" s="11" t="s">
        <v>20</v>
      </c>
      <c r="E20" s="13" t="s">
        <v>533</v>
      </c>
      <c r="F20" s="11" t="s">
        <v>534</v>
      </c>
      <c r="G20" s="12" t="s">
        <v>535</v>
      </c>
      <c r="H20" s="24" t="s">
        <v>536</v>
      </c>
      <c r="I20" s="13" t="s">
        <v>537</v>
      </c>
      <c r="J20" s="13" t="s">
        <v>538</v>
      </c>
      <c r="K20" s="24" t="s">
        <v>539</v>
      </c>
      <c r="L20" s="29" t="s">
        <v>540</v>
      </c>
      <c r="M20" s="13" t="s">
        <v>248</v>
      </c>
      <c r="N20" s="13" t="s">
        <v>541</v>
      </c>
      <c r="O20" s="13" t="s">
        <v>3</v>
      </c>
      <c r="P20" s="12" t="s">
        <v>542</v>
      </c>
      <c r="Q20" s="24" t="s">
        <v>543</v>
      </c>
      <c r="R20" s="12">
        <v>22803</v>
      </c>
      <c r="S20" s="13" t="s">
        <v>3</v>
      </c>
      <c r="T20" s="12" t="s">
        <v>542</v>
      </c>
      <c r="U20" s="24" t="s">
        <v>543</v>
      </c>
      <c r="V20" s="12">
        <v>22803</v>
      </c>
      <c r="W20" s="13" t="s">
        <v>544</v>
      </c>
      <c r="X20" s="13" t="s">
        <v>545</v>
      </c>
      <c r="Y20" s="13" t="s">
        <v>546</v>
      </c>
      <c r="Z20" s="24" t="s">
        <v>547</v>
      </c>
      <c r="AA20" s="24" t="s">
        <v>548</v>
      </c>
      <c r="AB20" s="24"/>
      <c r="AC20" s="24"/>
      <c r="AD20" s="24"/>
      <c r="AE20" s="24" t="s">
        <v>321</v>
      </c>
      <c r="AF20" s="24"/>
      <c r="AG20" s="24"/>
      <c r="AH20" s="24"/>
      <c r="AI20" s="24"/>
      <c r="AJ20" s="24"/>
      <c r="AK20" s="24" t="s">
        <v>322</v>
      </c>
      <c r="AL20" s="24" t="s">
        <v>549</v>
      </c>
      <c r="AM20" s="24" t="s">
        <v>550</v>
      </c>
      <c r="AN20" s="24">
        <v>43444</v>
      </c>
      <c r="AO20" s="24" t="s">
        <v>551</v>
      </c>
      <c r="AP20" s="24">
        <v>22804</v>
      </c>
      <c r="AQ20" s="24" t="s">
        <v>342</v>
      </c>
      <c r="AR20" s="24" t="s">
        <v>291</v>
      </c>
      <c r="AS20" s="24" t="s">
        <v>291</v>
      </c>
      <c r="AT20" s="24"/>
    </row>
    <row r="21" spans="1:46" s="23" customFormat="1" ht="15" customHeight="1">
      <c r="A21" s="11">
        <v>19</v>
      </c>
      <c r="B21" s="12">
        <v>8925</v>
      </c>
      <c r="C21" s="12" t="s">
        <v>271</v>
      </c>
      <c r="D21" s="11" t="s">
        <v>21</v>
      </c>
      <c r="E21" s="13" t="s">
        <v>552</v>
      </c>
      <c r="F21" s="11" t="s">
        <v>553</v>
      </c>
      <c r="G21" s="12" t="s">
        <v>554</v>
      </c>
      <c r="H21" s="24" t="s">
        <v>536</v>
      </c>
      <c r="I21" s="13" t="s">
        <v>555</v>
      </c>
      <c r="J21" s="13" t="s">
        <v>556</v>
      </c>
      <c r="K21" s="24" t="s">
        <v>557</v>
      </c>
      <c r="L21" s="29" t="s">
        <v>558</v>
      </c>
      <c r="M21" s="13" t="s">
        <v>248</v>
      </c>
      <c r="N21" s="13" t="s">
        <v>559</v>
      </c>
      <c r="O21" s="13" t="s">
        <v>4</v>
      </c>
      <c r="P21" s="12" t="s">
        <v>560</v>
      </c>
      <c r="Q21" s="24" t="s">
        <v>561</v>
      </c>
      <c r="R21" s="12">
        <v>317010</v>
      </c>
      <c r="S21" s="24"/>
      <c r="T21" s="24"/>
      <c r="U21" s="24"/>
      <c r="V21" s="24" t="s">
        <v>283</v>
      </c>
      <c r="W21" s="24"/>
      <c r="X21" s="24"/>
      <c r="Y21" s="24"/>
      <c r="Z21" s="24"/>
      <c r="AA21" s="24"/>
      <c r="AB21" s="13" t="s">
        <v>4</v>
      </c>
      <c r="AC21" s="12" t="s">
        <v>560</v>
      </c>
      <c r="AD21" s="24" t="s">
        <v>561</v>
      </c>
      <c r="AE21" s="12">
        <v>317010</v>
      </c>
      <c r="AF21" s="13" t="s">
        <v>284</v>
      </c>
      <c r="AG21" s="13" t="s">
        <v>562</v>
      </c>
      <c r="AH21" s="13" t="s">
        <v>286</v>
      </c>
      <c r="AI21" s="24" t="s">
        <v>287</v>
      </c>
      <c r="AJ21" s="24">
        <v>25</v>
      </c>
      <c r="AK21" s="24" t="s">
        <v>563</v>
      </c>
      <c r="AL21" s="24" t="s">
        <v>564</v>
      </c>
      <c r="AM21" s="24" t="s">
        <v>565</v>
      </c>
      <c r="AN21" s="24">
        <v>38625</v>
      </c>
      <c r="AO21" s="24" t="s">
        <v>560</v>
      </c>
      <c r="AP21" s="24">
        <v>317016</v>
      </c>
      <c r="AQ21" s="24" t="s">
        <v>4</v>
      </c>
      <c r="AR21" s="24" t="s">
        <v>291</v>
      </c>
      <c r="AS21" s="24" t="s">
        <v>291</v>
      </c>
      <c r="AT21" s="24"/>
    </row>
    <row r="22" spans="1:46" s="23" customFormat="1" ht="15" customHeight="1">
      <c r="A22" s="11">
        <v>20</v>
      </c>
      <c r="B22" s="12">
        <v>9315</v>
      </c>
      <c r="C22" s="12" t="s">
        <v>271</v>
      </c>
      <c r="D22" s="11" t="s">
        <v>19</v>
      </c>
      <c r="E22" s="13" t="s">
        <v>566</v>
      </c>
      <c r="F22" s="11" t="s">
        <v>567</v>
      </c>
      <c r="G22" s="12" t="s">
        <v>568</v>
      </c>
      <c r="H22" s="24" t="s">
        <v>536</v>
      </c>
      <c r="I22" s="13" t="s">
        <v>569</v>
      </c>
      <c r="J22" s="13" t="s">
        <v>570</v>
      </c>
      <c r="K22" s="24" t="s">
        <v>571</v>
      </c>
      <c r="L22" s="29" t="s">
        <v>572</v>
      </c>
      <c r="M22" s="13" t="s">
        <v>248</v>
      </c>
      <c r="N22" s="13" t="s">
        <v>573</v>
      </c>
      <c r="O22" s="13" t="s">
        <v>4</v>
      </c>
      <c r="P22" s="12" t="s">
        <v>574</v>
      </c>
      <c r="Q22" s="24" t="s">
        <v>575</v>
      </c>
      <c r="R22" s="12">
        <v>313040</v>
      </c>
      <c r="S22" s="24"/>
      <c r="T22" s="24"/>
      <c r="U22" s="24"/>
      <c r="V22" s="24" t="s">
        <v>283</v>
      </c>
      <c r="W22" s="24"/>
      <c r="X22" s="24"/>
      <c r="Y22" s="24"/>
      <c r="Z22" s="24"/>
      <c r="AA22" s="24"/>
      <c r="AB22" s="13" t="s">
        <v>4</v>
      </c>
      <c r="AC22" s="12" t="s">
        <v>574</v>
      </c>
      <c r="AD22" s="24" t="s">
        <v>575</v>
      </c>
      <c r="AE22" s="12">
        <v>313040</v>
      </c>
      <c r="AF22" s="13" t="s">
        <v>284</v>
      </c>
      <c r="AG22" s="13" t="s">
        <v>576</v>
      </c>
      <c r="AH22" s="13" t="s">
        <v>286</v>
      </c>
      <c r="AI22" s="24" t="s">
        <v>287</v>
      </c>
      <c r="AJ22" s="24">
        <v>21</v>
      </c>
      <c r="AK22" s="24" t="s">
        <v>577</v>
      </c>
      <c r="AL22" s="24" t="s">
        <v>578</v>
      </c>
      <c r="AM22" s="24" t="s">
        <v>579</v>
      </c>
      <c r="AN22" s="24">
        <v>36467</v>
      </c>
      <c r="AO22" s="24" t="s">
        <v>574</v>
      </c>
      <c r="AP22" s="24">
        <v>313046</v>
      </c>
      <c r="AQ22" s="24" t="s">
        <v>4</v>
      </c>
      <c r="AR22" s="24" t="s">
        <v>291</v>
      </c>
      <c r="AS22" s="24" t="s">
        <v>291</v>
      </c>
      <c r="AT22" s="24"/>
    </row>
    <row r="23" spans="1:46" s="23" customFormat="1" ht="15" customHeight="1">
      <c r="A23" s="11">
        <v>21</v>
      </c>
      <c r="B23" s="12">
        <v>4485</v>
      </c>
      <c r="C23" s="12" t="s">
        <v>271</v>
      </c>
      <c r="D23" s="11" t="s">
        <v>41</v>
      </c>
      <c r="E23" s="13" t="s">
        <v>580</v>
      </c>
      <c r="F23" s="11" t="s">
        <v>581</v>
      </c>
      <c r="G23" s="12" t="s">
        <v>582</v>
      </c>
      <c r="H23" s="24" t="s">
        <v>536</v>
      </c>
      <c r="I23" s="13" t="s">
        <v>583</v>
      </c>
      <c r="J23" s="13" t="s">
        <v>584</v>
      </c>
      <c r="K23" s="24" t="s">
        <v>585</v>
      </c>
      <c r="L23" s="29" t="s">
        <v>586</v>
      </c>
      <c r="M23" s="13" t="s">
        <v>248</v>
      </c>
      <c r="N23" s="13" t="s">
        <v>587</v>
      </c>
      <c r="O23" s="13" t="s">
        <v>3</v>
      </c>
      <c r="P23" s="12" t="s">
        <v>588</v>
      </c>
      <c r="Q23" s="24" t="s">
        <v>589</v>
      </c>
      <c r="R23" s="12">
        <v>25831</v>
      </c>
      <c r="S23" s="13" t="s">
        <v>3</v>
      </c>
      <c r="T23" s="12" t="s">
        <v>588</v>
      </c>
      <c r="U23" s="24" t="s">
        <v>589</v>
      </c>
      <c r="V23" s="12">
        <v>25831</v>
      </c>
      <c r="W23" s="13" t="s">
        <v>544</v>
      </c>
      <c r="X23" s="13" t="s">
        <v>590</v>
      </c>
      <c r="Y23" s="13" t="s">
        <v>546</v>
      </c>
      <c r="Z23" s="24" t="s">
        <v>547</v>
      </c>
      <c r="AA23" s="24" t="s">
        <v>591</v>
      </c>
      <c r="AB23" s="24"/>
      <c r="AC23" s="24"/>
      <c r="AD23" s="24"/>
      <c r="AE23" s="24" t="s">
        <v>321</v>
      </c>
      <c r="AF23" s="24"/>
      <c r="AG23" s="24"/>
      <c r="AH23" s="24"/>
      <c r="AI23" s="24"/>
      <c r="AJ23" s="24"/>
      <c r="AK23" s="24" t="s">
        <v>322</v>
      </c>
      <c r="AL23" s="24" t="s">
        <v>592</v>
      </c>
      <c r="AM23" s="24" t="s">
        <v>593</v>
      </c>
      <c r="AN23" s="24">
        <v>44316</v>
      </c>
      <c r="AO23" s="24" t="s">
        <v>594</v>
      </c>
      <c r="AP23" s="24">
        <v>25832</v>
      </c>
      <c r="AQ23" s="24" t="s">
        <v>3</v>
      </c>
      <c r="AR23" s="24" t="s">
        <v>291</v>
      </c>
      <c r="AS23" s="24" t="s">
        <v>291</v>
      </c>
      <c r="AT23" s="24"/>
    </row>
    <row r="24" spans="1:46" s="23" customFormat="1" ht="15" customHeight="1">
      <c r="A24" s="11">
        <v>22</v>
      </c>
      <c r="B24" s="12">
        <v>8912</v>
      </c>
      <c r="C24" s="12" t="s">
        <v>271</v>
      </c>
      <c r="D24" s="11" t="s">
        <v>23</v>
      </c>
      <c r="E24" s="13" t="s">
        <v>595</v>
      </c>
      <c r="F24" s="11" t="s">
        <v>596</v>
      </c>
      <c r="G24" s="12" t="s">
        <v>597</v>
      </c>
      <c r="H24" s="24" t="s">
        <v>536</v>
      </c>
      <c r="I24" s="13" t="s">
        <v>598</v>
      </c>
      <c r="J24" s="13" t="s">
        <v>599</v>
      </c>
      <c r="K24" s="24" t="s">
        <v>600</v>
      </c>
      <c r="L24" s="29" t="s">
        <v>601</v>
      </c>
      <c r="M24" s="13" t="s">
        <v>248</v>
      </c>
      <c r="N24" s="13" t="s">
        <v>602</v>
      </c>
      <c r="O24" s="13" t="s">
        <v>3</v>
      </c>
      <c r="P24" s="12" t="s">
        <v>603</v>
      </c>
      <c r="Q24" s="24" t="s">
        <v>604</v>
      </c>
      <c r="R24" s="12">
        <v>22855</v>
      </c>
      <c r="S24" s="13" t="s">
        <v>3</v>
      </c>
      <c r="T24" s="12" t="s">
        <v>603</v>
      </c>
      <c r="U24" s="24" t="s">
        <v>604</v>
      </c>
      <c r="V24" s="12">
        <v>22855</v>
      </c>
      <c r="W24" s="13" t="s">
        <v>544</v>
      </c>
      <c r="X24" s="13" t="s">
        <v>605</v>
      </c>
      <c r="Y24" s="13" t="s">
        <v>546</v>
      </c>
      <c r="Z24" s="24" t="s">
        <v>547</v>
      </c>
      <c r="AA24" s="24" t="s">
        <v>606</v>
      </c>
      <c r="AB24" s="24"/>
      <c r="AC24" s="24"/>
      <c r="AD24" s="24"/>
      <c r="AE24" s="24" t="s">
        <v>321</v>
      </c>
      <c r="AF24" s="24"/>
      <c r="AG24" s="24"/>
      <c r="AH24" s="24"/>
      <c r="AI24" s="24"/>
      <c r="AJ24" s="24"/>
      <c r="AK24" s="24" t="s">
        <v>322</v>
      </c>
      <c r="AL24" s="24" t="s">
        <v>607</v>
      </c>
      <c r="AM24" s="24" t="s">
        <v>608</v>
      </c>
      <c r="AN24" s="24">
        <v>36862</v>
      </c>
      <c r="AO24" s="24" t="s">
        <v>609</v>
      </c>
      <c r="AP24" s="24">
        <v>22856</v>
      </c>
      <c r="AQ24" s="24" t="s">
        <v>342</v>
      </c>
      <c r="AR24" s="24" t="s">
        <v>291</v>
      </c>
      <c r="AS24" s="24" t="s">
        <v>291</v>
      </c>
      <c r="AT24" s="24"/>
    </row>
    <row r="25" spans="1:46" s="23" customFormat="1" ht="15" customHeight="1">
      <c r="A25" s="11">
        <v>23</v>
      </c>
      <c r="B25" s="12">
        <v>9336</v>
      </c>
      <c r="C25" s="12" t="s">
        <v>271</v>
      </c>
      <c r="D25" s="11" t="s">
        <v>24</v>
      </c>
      <c r="E25" s="13" t="s">
        <v>610</v>
      </c>
      <c r="F25" s="11" t="s">
        <v>611</v>
      </c>
      <c r="G25" s="12" t="s">
        <v>612</v>
      </c>
      <c r="H25" s="24" t="s">
        <v>536</v>
      </c>
      <c r="I25" s="13" t="s">
        <v>613</v>
      </c>
      <c r="J25" s="13" t="s">
        <v>614</v>
      </c>
      <c r="K25" s="24" t="s">
        <v>615</v>
      </c>
      <c r="L25" s="29" t="s">
        <v>616</v>
      </c>
      <c r="M25" s="13" t="s">
        <v>248</v>
      </c>
      <c r="N25" s="13" t="s">
        <v>617</v>
      </c>
      <c r="O25" s="13" t="s">
        <v>4</v>
      </c>
      <c r="P25" s="12" t="s">
        <v>618</v>
      </c>
      <c r="Q25" s="24" t="s">
        <v>619</v>
      </c>
      <c r="R25" s="12">
        <v>315710</v>
      </c>
      <c r="S25" s="24"/>
      <c r="T25" s="24"/>
      <c r="U25" s="24"/>
      <c r="V25" s="24" t="s">
        <v>283</v>
      </c>
      <c r="W25" s="24"/>
      <c r="X25" s="24"/>
      <c r="Y25" s="24"/>
      <c r="Z25" s="24"/>
      <c r="AA25" s="24"/>
      <c r="AB25" s="13" t="s">
        <v>4</v>
      </c>
      <c r="AC25" s="12" t="s">
        <v>618</v>
      </c>
      <c r="AD25" s="24" t="s">
        <v>619</v>
      </c>
      <c r="AE25" s="12">
        <v>315710</v>
      </c>
      <c r="AF25" s="13" t="s">
        <v>284</v>
      </c>
      <c r="AG25" s="13" t="s">
        <v>620</v>
      </c>
      <c r="AH25" s="13" t="s">
        <v>286</v>
      </c>
      <c r="AI25" s="24" t="s">
        <v>287</v>
      </c>
      <c r="AJ25" s="24">
        <v>119</v>
      </c>
      <c r="AK25" s="24" t="s">
        <v>621</v>
      </c>
      <c r="AL25" s="24" t="s">
        <v>622</v>
      </c>
      <c r="AM25" s="24" t="s">
        <v>623</v>
      </c>
      <c r="AN25" s="24">
        <v>41144</v>
      </c>
      <c r="AO25" s="25" t="s">
        <v>532</v>
      </c>
      <c r="AP25" s="24">
        <v>315716</v>
      </c>
      <c r="AQ25" s="24" t="s">
        <v>4</v>
      </c>
      <c r="AR25" s="24" t="s">
        <v>291</v>
      </c>
      <c r="AS25" s="24" t="s">
        <v>291</v>
      </c>
      <c r="AT25" s="24" t="s">
        <v>624</v>
      </c>
    </row>
    <row r="26" spans="1:46" s="23" customFormat="1" ht="15" customHeight="1">
      <c r="A26" s="11">
        <v>24</v>
      </c>
      <c r="B26" s="12">
        <v>9360</v>
      </c>
      <c r="C26" s="12" t="s">
        <v>271</v>
      </c>
      <c r="D26" s="11" t="s">
        <v>25</v>
      </c>
      <c r="E26" s="13" t="s">
        <v>625</v>
      </c>
      <c r="F26" s="11" t="s">
        <v>626</v>
      </c>
      <c r="G26" s="12" t="s">
        <v>627</v>
      </c>
      <c r="H26" s="24" t="s">
        <v>536</v>
      </c>
      <c r="I26" s="13" t="s">
        <v>628</v>
      </c>
      <c r="J26" s="13" t="s">
        <v>629</v>
      </c>
      <c r="K26" s="24" t="s">
        <v>630</v>
      </c>
      <c r="L26" s="29" t="s">
        <v>631</v>
      </c>
      <c r="M26" s="13" t="s">
        <v>248</v>
      </c>
      <c r="N26" s="13" t="s">
        <v>632</v>
      </c>
      <c r="O26" s="13" t="s">
        <v>4</v>
      </c>
      <c r="P26" s="12" t="s">
        <v>633</v>
      </c>
      <c r="Q26" s="24" t="s">
        <v>634</v>
      </c>
      <c r="R26" s="12">
        <v>317260</v>
      </c>
      <c r="S26" s="24"/>
      <c r="T26" s="24"/>
      <c r="U26" s="24"/>
      <c r="V26" s="24" t="s">
        <v>283</v>
      </c>
      <c r="W26" s="24"/>
      <c r="X26" s="24"/>
      <c r="Y26" s="24"/>
      <c r="Z26" s="24"/>
      <c r="AA26" s="24"/>
      <c r="AB26" s="13" t="s">
        <v>4</v>
      </c>
      <c r="AC26" s="12" t="s">
        <v>633</v>
      </c>
      <c r="AD26" s="24" t="s">
        <v>634</v>
      </c>
      <c r="AE26" s="12">
        <v>317260</v>
      </c>
      <c r="AF26" s="13" t="s">
        <v>284</v>
      </c>
      <c r="AG26" s="13" t="s">
        <v>635</v>
      </c>
      <c r="AH26" s="13" t="s">
        <v>286</v>
      </c>
      <c r="AI26" s="24" t="s">
        <v>287</v>
      </c>
      <c r="AJ26" s="24">
        <v>26</v>
      </c>
      <c r="AK26" s="24" t="s">
        <v>636</v>
      </c>
      <c r="AL26" s="24" t="s">
        <v>637</v>
      </c>
      <c r="AM26" s="24" t="s">
        <v>638</v>
      </c>
      <c r="AN26" s="24">
        <v>36142</v>
      </c>
      <c r="AO26" s="24" t="s">
        <v>633</v>
      </c>
      <c r="AP26" s="24">
        <v>317266</v>
      </c>
      <c r="AQ26" s="24" t="s">
        <v>4</v>
      </c>
      <c r="AR26" s="24" t="s">
        <v>291</v>
      </c>
      <c r="AS26" s="24" t="s">
        <v>291</v>
      </c>
      <c r="AT26" s="24"/>
    </row>
    <row r="27" spans="1:46" s="23" customFormat="1" ht="15" customHeight="1">
      <c r="A27" s="11">
        <v>25</v>
      </c>
      <c r="B27" s="12">
        <v>9379</v>
      </c>
      <c r="C27" s="12" t="s">
        <v>271</v>
      </c>
      <c r="D27" s="11" t="s">
        <v>22</v>
      </c>
      <c r="E27" s="13" t="s">
        <v>639</v>
      </c>
      <c r="F27" s="11" t="s">
        <v>640</v>
      </c>
      <c r="G27" s="12" t="s">
        <v>641</v>
      </c>
      <c r="H27" s="24" t="s">
        <v>536</v>
      </c>
      <c r="I27" s="13" t="s">
        <v>642</v>
      </c>
      <c r="J27" s="13" t="s">
        <v>643</v>
      </c>
      <c r="K27" s="24" t="s">
        <v>644</v>
      </c>
      <c r="L27" s="29" t="s">
        <v>645</v>
      </c>
      <c r="M27" s="13" t="s">
        <v>248</v>
      </c>
      <c r="N27" s="13" t="s">
        <v>646</v>
      </c>
      <c r="O27" s="13" t="s">
        <v>3</v>
      </c>
      <c r="P27" s="12" t="s">
        <v>647</v>
      </c>
      <c r="Q27" s="24" t="s">
        <v>648</v>
      </c>
      <c r="R27" s="12">
        <v>22851</v>
      </c>
      <c r="S27" s="13" t="s">
        <v>3</v>
      </c>
      <c r="T27" s="12" t="s">
        <v>647</v>
      </c>
      <c r="U27" s="24" t="s">
        <v>648</v>
      </c>
      <c r="V27" s="12">
        <v>22851</v>
      </c>
      <c r="W27" s="13" t="s">
        <v>544</v>
      </c>
      <c r="X27" s="13" t="s">
        <v>649</v>
      </c>
      <c r="Y27" s="13" t="s">
        <v>546</v>
      </c>
      <c r="Z27" s="24" t="s">
        <v>547</v>
      </c>
      <c r="AA27" s="24" t="s">
        <v>650</v>
      </c>
      <c r="AB27" s="24"/>
      <c r="AC27" s="24"/>
      <c r="AD27" s="24"/>
      <c r="AE27" s="24" t="s">
        <v>321</v>
      </c>
      <c r="AF27" s="24"/>
      <c r="AG27" s="24"/>
      <c r="AH27" s="24"/>
      <c r="AI27" s="24"/>
      <c r="AJ27" s="24"/>
      <c r="AK27" s="24" t="s">
        <v>322</v>
      </c>
      <c r="AL27" s="24" t="s">
        <v>651</v>
      </c>
      <c r="AM27" s="24" t="s">
        <v>652</v>
      </c>
      <c r="AN27" s="24">
        <v>39677</v>
      </c>
      <c r="AO27" s="24" t="s">
        <v>653</v>
      </c>
      <c r="AP27" s="24">
        <v>22852</v>
      </c>
      <c r="AQ27" s="24" t="s">
        <v>342</v>
      </c>
      <c r="AR27" s="24" t="s">
        <v>291</v>
      </c>
      <c r="AS27" s="24" t="s">
        <v>291</v>
      </c>
      <c r="AT27" s="24"/>
    </row>
    <row r="28" spans="1:46" s="23" customFormat="1" ht="15" customHeight="1">
      <c r="A28" s="11">
        <v>26</v>
      </c>
      <c r="B28" s="12">
        <v>8975</v>
      </c>
      <c r="C28" s="12" t="s">
        <v>271</v>
      </c>
      <c r="D28" s="11" t="s">
        <v>33</v>
      </c>
      <c r="E28" s="13" t="s">
        <v>654</v>
      </c>
      <c r="F28" s="11" t="s">
        <v>655</v>
      </c>
      <c r="G28" s="12" t="s">
        <v>656</v>
      </c>
      <c r="H28" s="24" t="s">
        <v>536</v>
      </c>
      <c r="I28" s="13" t="s">
        <v>657</v>
      </c>
      <c r="J28" s="13" t="s">
        <v>658</v>
      </c>
      <c r="K28" s="24" t="s">
        <v>659</v>
      </c>
      <c r="L28" s="29" t="s">
        <v>660</v>
      </c>
      <c r="M28" s="13" t="s">
        <v>248</v>
      </c>
      <c r="N28" s="13" t="s">
        <v>661</v>
      </c>
      <c r="O28" s="13" t="s">
        <v>4</v>
      </c>
      <c r="P28" s="12" t="s">
        <v>662</v>
      </c>
      <c r="Q28" s="24" t="s">
        <v>663</v>
      </c>
      <c r="R28" s="12">
        <v>324790</v>
      </c>
      <c r="S28" s="24"/>
      <c r="T28" s="24"/>
      <c r="U28" s="24"/>
      <c r="V28" s="24" t="s">
        <v>283</v>
      </c>
      <c r="W28" s="24"/>
      <c r="X28" s="24"/>
      <c r="Y28" s="24"/>
      <c r="Z28" s="24"/>
      <c r="AA28" s="24"/>
      <c r="AB28" s="13" t="s">
        <v>4</v>
      </c>
      <c r="AC28" s="12" t="s">
        <v>662</v>
      </c>
      <c r="AD28" s="24" t="s">
        <v>663</v>
      </c>
      <c r="AE28" s="12">
        <v>324790</v>
      </c>
      <c r="AF28" s="13" t="s">
        <v>284</v>
      </c>
      <c r="AG28" s="13" t="s">
        <v>664</v>
      </c>
      <c r="AH28" s="13" t="s">
        <v>286</v>
      </c>
      <c r="AI28" s="24" t="s">
        <v>287</v>
      </c>
      <c r="AJ28" s="24">
        <v>155</v>
      </c>
      <c r="AK28" s="24" t="s">
        <v>665</v>
      </c>
      <c r="AL28" s="24" t="s">
        <v>666</v>
      </c>
      <c r="AM28" s="24" t="s">
        <v>667</v>
      </c>
      <c r="AN28" s="24">
        <v>41415</v>
      </c>
      <c r="AO28" s="24" t="s">
        <v>662</v>
      </c>
      <c r="AP28" s="24">
        <v>324796</v>
      </c>
      <c r="AQ28" s="24" t="s">
        <v>12</v>
      </c>
      <c r="AR28" s="24" t="s">
        <v>12</v>
      </c>
      <c r="AS28" s="24" t="s">
        <v>668</v>
      </c>
      <c r="AT28" s="24"/>
    </row>
    <row r="29" spans="1:46" s="23" customFormat="1" ht="15" customHeight="1">
      <c r="A29" s="11">
        <v>27</v>
      </c>
      <c r="B29" s="12">
        <v>9327</v>
      </c>
      <c r="C29" s="12" t="s">
        <v>271</v>
      </c>
      <c r="D29" s="11" t="s">
        <v>35</v>
      </c>
      <c r="E29" s="13" t="s">
        <v>669</v>
      </c>
      <c r="F29" s="11" t="s">
        <v>670</v>
      </c>
      <c r="G29" s="12" t="s">
        <v>671</v>
      </c>
      <c r="H29" s="24" t="s">
        <v>536</v>
      </c>
      <c r="I29" s="13" t="s">
        <v>672</v>
      </c>
      <c r="J29" s="13" t="s">
        <v>673</v>
      </c>
      <c r="K29" s="24" t="s">
        <v>674</v>
      </c>
      <c r="L29" s="29" t="s">
        <v>675</v>
      </c>
      <c r="M29" s="13" t="s">
        <v>248</v>
      </c>
      <c r="N29" s="13" t="s">
        <v>676</v>
      </c>
      <c r="O29" s="13" t="s">
        <v>4</v>
      </c>
      <c r="P29" s="12" t="s">
        <v>677</v>
      </c>
      <c r="Q29" s="24" t="s">
        <v>663</v>
      </c>
      <c r="R29" s="12">
        <v>323310</v>
      </c>
      <c r="S29" s="24"/>
      <c r="T29" s="24"/>
      <c r="U29" s="24"/>
      <c r="V29" s="24" t="s">
        <v>283</v>
      </c>
      <c r="W29" s="24"/>
      <c r="X29" s="24"/>
      <c r="Y29" s="24"/>
      <c r="Z29" s="24"/>
      <c r="AA29" s="24"/>
      <c r="AB29" s="13" t="s">
        <v>4</v>
      </c>
      <c r="AC29" s="12" t="s">
        <v>677</v>
      </c>
      <c r="AD29" s="24" t="s">
        <v>663</v>
      </c>
      <c r="AE29" s="12">
        <v>323310</v>
      </c>
      <c r="AF29" s="13" t="s">
        <v>284</v>
      </c>
      <c r="AG29" s="13" t="s">
        <v>678</v>
      </c>
      <c r="AH29" s="13" t="s">
        <v>286</v>
      </c>
      <c r="AI29" s="24" t="s">
        <v>287</v>
      </c>
      <c r="AJ29" s="24">
        <v>29</v>
      </c>
      <c r="AK29" s="24" t="s">
        <v>679</v>
      </c>
      <c r="AL29" s="24" t="s">
        <v>680</v>
      </c>
      <c r="AM29" s="24" t="s">
        <v>681</v>
      </c>
      <c r="AN29" s="24">
        <v>36079</v>
      </c>
      <c r="AO29" s="24" t="s">
        <v>677</v>
      </c>
      <c r="AP29" s="24">
        <v>323316</v>
      </c>
      <c r="AQ29" s="24" t="s">
        <v>4</v>
      </c>
      <c r="AR29" s="24" t="s">
        <v>291</v>
      </c>
      <c r="AS29" s="24" t="s">
        <v>291</v>
      </c>
      <c r="AT29" s="24"/>
    </row>
    <row r="30" spans="1:46" s="23" customFormat="1" ht="15" customHeight="1">
      <c r="A30" s="11">
        <v>28</v>
      </c>
      <c r="B30" s="12">
        <v>9367</v>
      </c>
      <c r="C30" s="12" t="s">
        <v>271</v>
      </c>
      <c r="D30" s="11" t="s">
        <v>34</v>
      </c>
      <c r="E30" s="13" t="s">
        <v>682</v>
      </c>
      <c r="F30" s="11" t="s">
        <v>683</v>
      </c>
      <c r="G30" s="12" t="s">
        <v>684</v>
      </c>
      <c r="H30" s="24" t="s">
        <v>536</v>
      </c>
      <c r="I30" s="13" t="s">
        <v>685</v>
      </c>
      <c r="J30" s="13" t="s">
        <v>686</v>
      </c>
      <c r="K30" s="24" t="s">
        <v>687</v>
      </c>
      <c r="L30" s="29" t="s">
        <v>688</v>
      </c>
      <c r="M30" s="13" t="s">
        <v>248</v>
      </c>
      <c r="N30" s="13" t="s">
        <v>689</v>
      </c>
      <c r="O30" s="13" t="s">
        <v>4</v>
      </c>
      <c r="P30" s="12" t="s">
        <v>690</v>
      </c>
      <c r="Q30" s="24" t="s">
        <v>691</v>
      </c>
      <c r="R30" s="12">
        <v>322720</v>
      </c>
      <c r="S30" s="24"/>
      <c r="T30" s="24"/>
      <c r="U30" s="24"/>
      <c r="V30" s="24" t="s">
        <v>283</v>
      </c>
      <c r="W30" s="24"/>
      <c r="X30" s="24"/>
      <c r="Y30" s="24"/>
      <c r="Z30" s="24"/>
      <c r="AA30" s="24"/>
      <c r="AB30" s="13" t="s">
        <v>4</v>
      </c>
      <c r="AC30" s="12" t="s">
        <v>690</v>
      </c>
      <c r="AD30" s="24" t="s">
        <v>691</v>
      </c>
      <c r="AE30" s="12">
        <v>322720</v>
      </c>
      <c r="AF30" s="13" t="s">
        <v>284</v>
      </c>
      <c r="AG30" s="13" t="s">
        <v>692</v>
      </c>
      <c r="AH30" s="13" t="s">
        <v>286</v>
      </c>
      <c r="AI30" s="24" t="s">
        <v>287</v>
      </c>
      <c r="AJ30" s="24">
        <v>28</v>
      </c>
      <c r="AK30" s="24" t="s">
        <v>693</v>
      </c>
      <c r="AL30" s="24" t="s">
        <v>694</v>
      </c>
      <c r="AM30" s="24" t="s">
        <v>695</v>
      </c>
      <c r="AN30" s="24">
        <v>37424</v>
      </c>
      <c r="AO30" s="24" t="s">
        <v>690</v>
      </c>
      <c r="AP30" s="24">
        <v>322726</v>
      </c>
      <c r="AQ30" s="24" t="s">
        <v>4</v>
      </c>
      <c r="AR30" s="24" t="s">
        <v>291</v>
      </c>
      <c r="AS30" s="24" t="s">
        <v>291</v>
      </c>
      <c r="AT30" s="24"/>
    </row>
    <row r="31" spans="1:46" s="23" customFormat="1" ht="15" customHeight="1">
      <c r="A31" s="11">
        <v>29</v>
      </c>
      <c r="B31" s="12">
        <v>8978</v>
      </c>
      <c r="C31" s="12" t="s">
        <v>271</v>
      </c>
      <c r="D31" s="11" t="s">
        <v>27</v>
      </c>
      <c r="E31" s="13" t="s">
        <v>696</v>
      </c>
      <c r="F31" s="11" t="s">
        <v>697</v>
      </c>
      <c r="G31" s="12" t="s">
        <v>698</v>
      </c>
      <c r="H31" s="24" t="s">
        <v>536</v>
      </c>
      <c r="I31" s="13" t="s">
        <v>699</v>
      </c>
      <c r="J31" s="13" t="s">
        <v>700</v>
      </c>
      <c r="K31" s="24" t="s">
        <v>701</v>
      </c>
      <c r="L31" s="29" t="s">
        <v>702</v>
      </c>
      <c r="M31" s="13" t="s">
        <v>248</v>
      </c>
      <c r="N31" s="13" t="s">
        <v>703</v>
      </c>
      <c r="O31" s="13" t="s">
        <v>3</v>
      </c>
      <c r="P31" s="12" t="s">
        <v>704</v>
      </c>
      <c r="Q31" s="24" t="s">
        <v>705</v>
      </c>
      <c r="R31" s="12">
        <v>23782</v>
      </c>
      <c r="S31" s="13" t="s">
        <v>3</v>
      </c>
      <c r="T31" s="12" t="s">
        <v>704</v>
      </c>
      <c r="U31" s="24" t="s">
        <v>705</v>
      </c>
      <c r="V31" s="12">
        <v>23782</v>
      </c>
      <c r="W31" s="13" t="s">
        <v>544</v>
      </c>
      <c r="X31" s="13" t="s">
        <v>706</v>
      </c>
      <c r="Y31" s="13" t="s">
        <v>546</v>
      </c>
      <c r="Z31" s="24" t="s">
        <v>547</v>
      </c>
      <c r="AA31" s="24" t="s">
        <v>707</v>
      </c>
      <c r="AB31" s="24"/>
      <c r="AC31" s="24"/>
      <c r="AD31" s="24"/>
      <c r="AE31" s="24" t="s">
        <v>321</v>
      </c>
      <c r="AF31" s="24"/>
      <c r="AG31" s="24"/>
      <c r="AH31" s="24"/>
      <c r="AI31" s="24"/>
      <c r="AJ31" s="24"/>
      <c r="AK31" s="24" t="s">
        <v>322</v>
      </c>
      <c r="AL31" s="24" t="s">
        <v>708</v>
      </c>
      <c r="AM31" s="24" t="s">
        <v>709</v>
      </c>
      <c r="AN31" s="24">
        <v>43145</v>
      </c>
      <c r="AO31" s="24" t="s">
        <v>710</v>
      </c>
      <c r="AP31" s="24">
        <v>23783</v>
      </c>
      <c r="AQ31" s="24" t="s">
        <v>342</v>
      </c>
      <c r="AR31" s="24" t="s">
        <v>291</v>
      </c>
      <c r="AS31" s="24" t="s">
        <v>291</v>
      </c>
      <c r="AT31" s="24"/>
    </row>
    <row r="32" spans="1:46" s="23" customFormat="1" ht="15" customHeight="1">
      <c r="A32" s="11">
        <v>30</v>
      </c>
      <c r="B32" s="12">
        <v>9333</v>
      </c>
      <c r="C32" s="12" t="s">
        <v>271</v>
      </c>
      <c r="D32" s="11" t="s">
        <v>26</v>
      </c>
      <c r="E32" s="13" t="s">
        <v>711</v>
      </c>
      <c r="F32" s="11" t="s">
        <v>712</v>
      </c>
      <c r="G32" s="12" t="s">
        <v>713</v>
      </c>
      <c r="H32" s="24" t="s">
        <v>536</v>
      </c>
      <c r="I32" s="13" t="s">
        <v>714</v>
      </c>
      <c r="J32" s="13" t="s">
        <v>715</v>
      </c>
      <c r="K32" s="24" t="s">
        <v>716</v>
      </c>
      <c r="L32" s="29" t="s">
        <v>717</v>
      </c>
      <c r="M32" s="13" t="s">
        <v>248</v>
      </c>
      <c r="N32" s="13" t="s">
        <v>718</v>
      </c>
      <c r="O32" s="13" t="s">
        <v>4</v>
      </c>
      <c r="P32" s="12" t="s">
        <v>719</v>
      </c>
      <c r="Q32" s="24" t="s">
        <v>720</v>
      </c>
      <c r="R32" s="12">
        <v>332170</v>
      </c>
      <c r="S32" s="24"/>
      <c r="T32" s="24"/>
      <c r="U32" s="24"/>
      <c r="V32" s="24" t="s">
        <v>283</v>
      </c>
      <c r="W32" s="24"/>
      <c r="X32" s="24"/>
      <c r="Y32" s="24"/>
      <c r="Z32" s="24"/>
      <c r="AA32" s="24"/>
      <c r="AB32" s="13" t="s">
        <v>4</v>
      </c>
      <c r="AC32" s="12" t="s">
        <v>719</v>
      </c>
      <c r="AD32" s="24" t="s">
        <v>720</v>
      </c>
      <c r="AE32" s="12">
        <v>332170</v>
      </c>
      <c r="AF32" s="13" t="s">
        <v>284</v>
      </c>
      <c r="AG32" s="13" t="s">
        <v>721</v>
      </c>
      <c r="AH32" s="13" t="s">
        <v>286</v>
      </c>
      <c r="AI32" s="24" t="s">
        <v>287</v>
      </c>
      <c r="AJ32" s="24">
        <v>32</v>
      </c>
      <c r="AK32" s="24" t="s">
        <v>722</v>
      </c>
      <c r="AL32" s="24" t="s">
        <v>723</v>
      </c>
      <c r="AM32" s="24" t="s">
        <v>724</v>
      </c>
      <c r="AN32" s="24">
        <v>39042</v>
      </c>
      <c r="AO32" s="24" t="s">
        <v>719</v>
      </c>
      <c r="AP32" s="24">
        <v>332176</v>
      </c>
      <c r="AQ32" s="24" t="s">
        <v>4</v>
      </c>
      <c r="AR32" s="24" t="s">
        <v>291</v>
      </c>
      <c r="AS32" s="24" t="s">
        <v>291</v>
      </c>
      <c r="AT32" s="24"/>
    </row>
    <row r="33" spans="1:46" s="23" customFormat="1" ht="15" customHeight="1">
      <c r="A33" s="11">
        <v>31</v>
      </c>
      <c r="B33" s="12">
        <v>9328</v>
      </c>
      <c r="C33" s="12" t="s">
        <v>271</v>
      </c>
      <c r="D33" s="11" t="s">
        <v>43</v>
      </c>
      <c r="E33" s="13" t="s">
        <v>725</v>
      </c>
      <c r="F33" s="11" t="s">
        <v>726</v>
      </c>
      <c r="G33" s="12" t="s">
        <v>727</v>
      </c>
      <c r="H33" s="24" t="s">
        <v>536</v>
      </c>
      <c r="I33" s="13" t="s">
        <v>728</v>
      </c>
      <c r="J33" s="13" t="s">
        <v>729</v>
      </c>
      <c r="K33" s="24" t="s">
        <v>730</v>
      </c>
      <c r="L33" s="29" t="s">
        <v>731</v>
      </c>
      <c r="M33" s="13" t="s">
        <v>248</v>
      </c>
      <c r="N33" s="13" t="s">
        <v>732</v>
      </c>
      <c r="O33" s="13" t="s">
        <v>4</v>
      </c>
      <c r="P33" s="12" t="s">
        <v>733</v>
      </c>
      <c r="Q33" s="24" t="s">
        <v>734</v>
      </c>
      <c r="R33" s="12">
        <v>367720</v>
      </c>
      <c r="S33" s="24"/>
      <c r="T33" s="24"/>
      <c r="U33" s="24"/>
      <c r="V33" s="24" t="s">
        <v>283</v>
      </c>
      <c r="W33" s="24"/>
      <c r="X33" s="24"/>
      <c r="Y33" s="24"/>
      <c r="Z33" s="24"/>
      <c r="AA33" s="24"/>
      <c r="AB33" s="13" t="s">
        <v>4</v>
      </c>
      <c r="AC33" s="12" t="s">
        <v>733</v>
      </c>
      <c r="AD33" s="24" t="s">
        <v>734</v>
      </c>
      <c r="AE33" s="12">
        <v>367720</v>
      </c>
      <c r="AF33" s="13" t="s">
        <v>284</v>
      </c>
      <c r="AG33" s="13" t="s">
        <v>735</v>
      </c>
      <c r="AH33" s="13" t="s">
        <v>286</v>
      </c>
      <c r="AI33" s="24" t="s">
        <v>287</v>
      </c>
      <c r="AJ33" s="24">
        <v>46</v>
      </c>
      <c r="AK33" s="24" t="s">
        <v>736</v>
      </c>
      <c r="AL33" s="24" t="s">
        <v>737</v>
      </c>
      <c r="AM33" s="24" t="s">
        <v>738</v>
      </c>
      <c r="AN33" s="24">
        <v>36082</v>
      </c>
      <c r="AO33" s="24" t="s">
        <v>733</v>
      </c>
      <c r="AP33" s="24">
        <v>367726</v>
      </c>
      <c r="AQ33" s="24" t="s">
        <v>4</v>
      </c>
      <c r="AR33" s="24" t="s">
        <v>291</v>
      </c>
      <c r="AS33" s="24" t="s">
        <v>291</v>
      </c>
      <c r="AT33" s="24"/>
    </row>
    <row r="34" spans="1:46" s="23" customFormat="1" ht="15" customHeight="1">
      <c r="A34" s="11">
        <v>32</v>
      </c>
      <c r="B34" s="12">
        <v>9361</v>
      </c>
      <c r="C34" s="12" t="s">
        <v>271</v>
      </c>
      <c r="D34" s="11" t="s">
        <v>42</v>
      </c>
      <c r="E34" s="13" t="s">
        <v>739</v>
      </c>
      <c r="F34" s="11" t="s">
        <v>740</v>
      </c>
      <c r="G34" s="12" t="s">
        <v>741</v>
      </c>
      <c r="H34" s="24" t="s">
        <v>536</v>
      </c>
      <c r="I34" s="13" t="s">
        <v>742</v>
      </c>
      <c r="J34" s="13" t="s">
        <v>743</v>
      </c>
      <c r="K34" s="24" t="s">
        <v>744</v>
      </c>
      <c r="L34" s="29" t="s">
        <v>745</v>
      </c>
      <c r="M34" s="13" t="s">
        <v>248</v>
      </c>
      <c r="N34" s="13" t="s">
        <v>746</v>
      </c>
      <c r="O34" s="13" t="s">
        <v>3</v>
      </c>
      <c r="P34" s="12" t="s">
        <v>747</v>
      </c>
      <c r="Q34" s="24" t="s">
        <v>734</v>
      </c>
      <c r="R34" s="12">
        <v>25835</v>
      </c>
      <c r="S34" s="13" t="s">
        <v>3</v>
      </c>
      <c r="T34" s="12" t="s">
        <v>747</v>
      </c>
      <c r="U34" s="24" t="s">
        <v>734</v>
      </c>
      <c r="V34" s="12">
        <v>25835</v>
      </c>
      <c r="W34" s="13" t="s">
        <v>544</v>
      </c>
      <c r="X34" s="13" t="s">
        <v>748</v>
      </c>
      <c r="Y34" s="13" t="s">
        <v>546</v>
      </c>
      <c r="Z34" s="24" t="s">
        <v>547</v>
      </c>
      <c r="AA34" s="24" t="s">
        <v>749</v>
      </c>
      <c r="AB34" s="24"/>
      <c r="AC34" s="24"/>
      <c r="AD34" s="24"/>
      <c r="AE34" s="24" t="s">
        <v>321</v>
      </c>
      <c r="AF34" s="24"/>
      <c r="AG34" s="24"/>
      <c r="AH34" s="24"/>
      <c r="AI34" s="24"/>
      <c r="AJ34" s="24"/>
      <c r="AK34" s="24" t="s">
        <v>322</v>
      </c>
      <c r="AL34" s="24" t="s">
        <v>750</v>
      </c>
      <c r="AM34" s="24" t="s">
        <v>751</v>
      </c>
      <c r="AN34" s="24">
        <v>27983</v>
      </c>
      <c r="AO34" s="24" t="s">
        <v>752</v>
      </c>
      <c r="AP34" s="24">
        <v>25836</v>
      </c>
      <c r="AQ34" s="24" t="s">
        <v>3</v>
      </c>
      <c r="AR34" s="24" t="s">
        <v>291</v>
      </c>
      <c r="AS34" s="24" t="s">
        <v>291</v>
      </c>
      <c r="AT34" s="24"/>
    </row>
    <row r="35" spans="1:46" s="23" customFormat="1" ht="15" customHeight="1">
      <c r="A35" s="11">
        <v>33</v>
      </c>
      <c r="B35" s="12">
        <v>9337</v>
      </c>
      <c r="C35" s="12" t="s">
        <v>271</v>
      </c>
      <c r="D35" s="11" t="s">
        <v>31</v>
      </c>
      <c r="E35" s="13" t="s">
        <v>753</v>
      </c>
      <c r="F35" s="11" t="s">
        <v>754</v>
      </c>
      <c r="G35" s="12" t="s">
        <v>755</v>
      </c>
      <c r="H35" s="24" t="s">
        <v>536</v>
      </c>
      <c r="I35" s="13" t="s">
        <v>756</v>
      </c>
      <c r="J35" s="13" t="s">
        <v>757</v>
      </c>
      <c r="K35" s="24" t="s">
        <v>758</v>
      </c>
      <c r="L35" s="29" t="s">
        <v>759</v>
      </c>
      <c r="M35" s="13" t="s">
        <v>248</v>
      </c>
      <c r="N35" s="13" t="s">
        <v>760</v>
      </c>
      <c r="O35" s="13" t="s">
        <v>3</v>
      </c>
      <c r="P35" s="12" t="s">
        <v>761</v>
      </c>
      <c r="Q35" s="24" t="s">
        <v>762</v>
      </c>
      <c r="R35" s="12">
        <v>26666</v>
      </c>
      <c r="S35" s="13" t="s">
        <v>3</v>
      </c>
      <c r="T35" s="12" t="s">
        <v>761</v>
      </c>
      <c r="U35" s="24" t="s">
        <v>762</v>
      </c>
      <c r="V35" s="12">
        <v>26666</v>
      </c>
      <c r="W35" s="13" t="s">
        <v>544</v>
      </c>
      <c r="X35" s="13" t="s">
        <v>763</v>
      </c>
      <c r="Y35" s="13" t="s">
        <v>546</v>
      </c>
      <c r="Z35" s="24" t="s">
        <v>547</v>
      </c>
      <c r="AA35" s="24" t="s">
        <v>764</v>
      </c>
      <c r="AB35" s="24"/>
      <c r="AC35" s="24"/>
      <c r="AD35" s="24"/>
      <c r="AE35" s="24" t="s">
        <v>321</v>
      </c>
      <c r="AF35" s="24"/>
      <c r="AG35" s="24"/>
      <c r="AH35" s="24"/>
      <c r="AI35" s="24"/>
      <c r="AJ35" s="24"/>
      <c r="AK35" s="24" t="s">
        <v>322</v>
      </c>
      <c r="AL35" s="24" t="s">
        <v>765</v>
      </c>
      <c r="AM35" s="24" t="s">
        <v>766</v>
      </c>
      <c r="AN35" s="24">
        <v>42692</v>
      </c>
      <c r="AO35" s="24" t="s">
        <v>767</v>
      </c>
      <c r="AP35" s="24">
        <v>26667</v>
      </c>
      <c r="AQ35" s="24" t="s">
        <v>12</v>
      </c>
      <c r="AR35" s="24" t="s">
        <v>12</v>
      </c>
      <c r="AS35" s="24" t="s">
        <v>768</v>
      </c>
      <c r="AT35" s="24"/>
    </row>
    <row r="36" spans="1:46" s="23" customFormat="1" ht="15" customHeight="1">
      <c r="A36" s="11">
        <v>34</v>
      </c>
      <c r="B36" s="12">
        <v>9342</v>
      </c>
      <c r="C36" s="12" t="s">
        <v>271</v>
      </c>
      <c r="D36" s="11" t="s">
        <v>32</v>
      </c>
      <c r="E36" s="13" t="s">
        <v>769</v>
      </c>
      <c r="F36" s="11" t="s">
        <v>770</v>
      </c>
      <c r="G36" s="12" t="s">
        <v>771</v>
      </c>
      <c r="H36" s="24" t="s">
        <v>536</v>
      </c>
      <c r="I36" s="13" t="s">
        <v>772</v>
      </c>
      <c r="J36" s="13" t="s">
        <v>773</v>
      </c>
      <c r="K36" s="24" t="s">
        <v>774</v>
      </c>
      <c r="L36" s="29" t="s">
        <v>775</v>
      </c>
      <c r="M36" s="13" t="s">
        <v>248</v>
      </c>
      <c r="N36" s="13" t="s">
        <v>776</v>
      </c>
      <c r="O36" s="13" t="s">
        <v>3</v>
      </c>
      <c r="P36" s="12" t="s">
        <v>777</v>
      </c>
      <c r="Q36" s="24" t="s">
        <v>762</v>
      </c>
      <c r="R36" s="12">
        <v>26670</v>
      </c>
      <c r="S36" s="13" t="s">
        <v>3</v>
      </c>
      <c r="T36" s="12" t="s">
        <v>777</v>
      </c>
      <c r="U36" s="24" t="s">
        <v>762</v>
      </c>
      <c r="V36" s="12">
        <v>26670</v>
      </c>
      <c r="W36" s="13" t="s">
        <v>544</v>
      </c>
      <c r="X36" s="13" t="s">
        <v>778</v>
      </c>
      <c r="Y36" s="13" t="s">
        <v>546</v>
      </c>
      <c r="Z36" s="24" t="s">
        <v>547</v>
      </c>
      <c r="AA36" s="24" t="s">
        <v>779</v>
      </c>
      <c r="AB36" s="24"/>
      <c r="AC36" s="24"/>
      <c r="AD36" s="24"/>
      <c r="AE36" s="24" t="s">
        <v>321</v>
      </c>
      <c r="AF36" s="24"/>
      <c r="AG36" s="24"/>
      <c r="AH36" s="24"/>
      <c r="AI36" s="24"/>
      <c r="AJ36" s="24"/>
      <c r="AK36" s="24" t="s">
        <v>322</v>
      </c>
      <c r="AL36" s="24" t="s">
        <v>780</v>
      </c>
      <c r="AM36" s="24" t="s">
        <v>781</v>
      </c>
      <c r="AN36" s="24">
        <v>36377</v>
      </c>
      <c r="AO36" s="24" t="s">
        <v>782</v>
      </c>
      <c r="AP36" s="24">
        <v>26671</v>
      </c>
      <c r="AQ36" s="24" t="s">
        <v>342</v>
      </c>
      <c r="AR36" s="24" t="s">
        <v>291</v>
      </c>
      <c r="AS36" s="24" t="s">
        <v>291</v>
      </c>
      <c r="AT36" s="24"/>
    </row>
    <row r="37" spans="1:46" s="23" customFormat="1" ht="15" customHeight="1">
      <c r="A37" s="11">
        <v>35</v>
      </c>
      <c r="B37" s="12">
        <v>31825</v>
      </c>
      <c r="C37" s="12" t="s">
        <v>271</v>
      </c>
      <c r="D37" s="11" t="s">
        <v>213</v>
      </c>
      <c r="E37" s="13" t="s">
        <v>783</v>
      </c>
      <c r="F37" s="11" t="s">
        <v>784</v>
      </c>
      <c r="G37" s="12" t="s">
        <v>785</v>
      </c>
      <c r="H37" s="24" t="s">
        <v>536</v>
      </c>
      <c r="I37" s="13" t="s">
        <v>786</v>
      </c>
      <c r="J37" s="13" t="s">
        <v>787</v>
      </c>
      <c r="K37" s="24" t="s">
        <v>788</v>
      </c>
      <c r="L37" s="29" t="s">
        <v>789</v>
      </c>
      <c r="M37" s="13" t="s">
        <v>248</v>
      </c>
      <c r="N37" s="13" t="s">
        <v>790</v>
      </c>
      <c r="O37" s="13" t="s">
        <v>4</v>
      </c>
      <c r="P37" s="12" t="s">
        <v>791</v>
      </c>
      <c r="Q37" s="24" t="s">
        <v>792</v>
      </c>
      <c r="R37" s="12">
        <v>328850</v>
      </c>
      <c r="S37" s="24"/>
      <c r="T37" s="24"/>
      <c r="U37" s="24"/>
      <c r="V37" s="24" t="s">
        <v>283</v>
      </c>
      <c r="W37" s="24"/>
      <c r="X37" s="24"/>
      <c r="Y37" s="24"/>
      <c r="Z37" s="24"/>
      <c r="AA37" s="24"/>
      <c r="AB37" s="13" t="s">
        <v>4</v>
      </c>
      <c r="AC37" s="12" t="s">
        <v>791</v>
      </c>
      <c r="AD37" s="24" t="s">
        <v>792</v>
      </c>
      <c r="AE37" s="12">
        <v>328850</v>
      </c>
      <c r="AF37" s="13" t="s">
        <v>284</v>
      </c>
      <c r="AG37" s="13" t="s">
        <v>793</v>
      </c>
      <c r="AH37" s="13" t="s">
        <v>286</v>
      </c>
      <c r="AI37" s="24" t="s">
        <v>287</v>
      </c>
      <c r="AJ37" s="24">
        <v>320</v>
      </c>
      <c r="AK37" s="24" t="s">
        <v>794</v>
      </c>
      <c r="AL37" s="24" t="s">
        <v>795</v>
      </c>
      <c r="AM37" s="24" t="s">
        <v>796</v>
      </c>
      <c r="AN37" s="24">
        <v>47243</v>
      </c>
      <c r="AO37" s="24" t="s">
        <v>791</v>
      </c>
      <c r="AP37" s="24">
        <v>328856</v>
      </c>
      <c r="AQ37" s="26"/>
      <c r="AR37" s="24" t="s">
        <v>291</v>
      </c>
      <c r="AS37" s="24" t="s">
        <v>291</v>
      </c>
      <c r="AT37" s="24"/>
    </row>
    <row r="38" spans="1:46" s="23" customFormat="1" ht="15" customHeight="1">
      <c r="A38" s="11">
        <v>36</v>
      </c>
      <c r="B38" s="12">
        <v>12566</v>
      </c>
      <c r="C38" s="12" t="s">
        <v>271</v>
      </c>
      <c r="D38" s="11" t="s">
        <v>797</v>
      </c>
      <c r="E38" s="13" t="s">
        <v>798</v>
      </c>
      <c r="F38" s="11" t="s">
        <v>799</v>
      </c>
      <c r="G38" s="12" t="s">
        <v>800</v>
      </c>
      <c r="H38" s="24" t="s">
        <v>536</v>
      </c>
      <c r="I38" s="11" t="s">
        <v>801</v>
      </c>
      <c r="J38" s="11" t="s">
        <v>802</v>
      </c>
      <c r="K38" s="24" t="s">
        <v>803</v>
      </c>
      <c r="L38" s="11"/>
      <c r="M38" s="13"/>
      <c r="N38" s="13" t="s">
        <v>804</v>
      </c>
      <c r="O38" s="13" t="s">
        <v>4</v>
      </c>
      <c r="P38" s="12"/>
      <c r="Q38" s="24" t="s">
        <v>792</v>
      </c>
      <c r="R38" s="12"/>
      <c r="S38" s="24"/>
      <c r="T38" s="24"/>
      <c r="U38" s="24"/>
      <c r="V38" s="24" t="s">
        <v>283</v>
      </c>
      <c r="W38" s="24"/>
      <c r="X38" s="24"/>
      <c r="Y38" s="24"/>
      <c r="Z38" s="24"/>
      <c r="AA38" s="24"/>
      <c r="AB38" s="13" t="s">
        <v>4</v>
      </c>
      <c r="AC38" s="12"/>
      <c r="AD38" s="24" t="s">
        <v>792</v>
      </c>
      <c r="AE38" s="12"/>
      <c r="AF38" s="13" t="s">
        <v>284</v>
      </c>
      <c r="AG38" s="13" t="s">
        <v>805</v>
      </c>
      <c r="AH38" s="13" t="s">
        <v>286</v>
      </c>
      <c r="AI38" s="24" t="s">
        <v>287</v>
      </c>
      <c r="AJ38" s="24"/>
      <c r="AK38" s="24"/>
      <c r="AL38" s="24" t="s">
        <v>806</v>
      </c>
      <c r="AM38" s="24" t="s">
        <v>807</v>
      </c>
      <c r="AN38" s="24">
        <v>45672</v>
      </c>
      <c r="AO38" s="24" t="s">
        <v>808</v>
      </c>
      <c r="AP38" s="24">
        <v>323196</v>
      </c>
      <c r="AQ38" s="24" t="s">
        <v>4</v>
      </c>
      <c r="AR38" s="24" t="s">
        <v>291</v>
      </c>
      <c r="AS38" s="24" t="s">
        <v>291</v>
      </c>
      <c r="AT38" s="24"/>
    </row>
    <row r="39" spans="1:46" s="23" customFormat="1" ht="15" customHeight="1">
      <c r="A39" s="11">
        <v>37</v>
      </c>
      <c r="B39" s="12">
        <v>9383</v>
      </c>
      <c r="C39" s="12" t="s">
        <v>271</v>
      </c>
      <c r="D39" s="11" t="s">
        <v>809</v>
      </c>
      <c r="E39" s="13" t="s">
        <v>810</v>
      </c>
      <c r="F39" s="11" t="s">
        <v>811</v>
      </c>
      <c r="G39" s="12" t="s">
        <v>812</v>
      </c>
      <c r="H39" s="24" t="s">
        <v>536</v>
      </c>
      <c r="I39" s="11" t="s">
        <v>813</v>
      </c>
      <c r="J39" s="11" t="s">
        <v>814</v>
      </c>
      <c r="K39" s="24" t="s">
        <v>815</v>
      </c>
      <c r="L39" s="11" t="s">
        <v>816</v>
      </c>
      <c r="M39" s="13"/>
      <c r="N39" s="13" t="s">
        <v>817</v>
      </c>
      <c r="O39" s="13" t="s">
        <v>4</v>
      </c>
      <c r="P39" s="12" t="s">
        <v>818</v>
      </c>
      <c r="Q39" s="24" t="s">
        <v>819</v>
      </c>
      <c r="R39" s="12">
        <v>321760</v>
      </c>
      <c r="S39" s="24"/>
      <c r="T39" s="24"/>
      <c r="U39" s="24"/>
      <c r="V39" s="24" t="s">
        <v>283</v>
      </c>
      <c r="W39" s="24"/>
      <c r="X39" s="24"/>
      <c r="Y39" s="24"/>
      <c r="Z39" s="24"/>
      <c r="AA39" s="24"/>
      <c r="AB39" s="13" t="s">
        <v>4</v>
      </c>
      <c r="AC39" s="12" t="s">
        <v>818</v>
      </c>
      <c r="AD39" s="24" t="s">
        <v>819</v>
      </c>
      <c r="AE39" s="12">
        <v>321760</v>
      </c>
      <c r="AF39" s="13" t="s">
        <v>284</v>
      </c>
      <c r="AG39" s="13" t="s">
        <v>820</v>
      </c>
      <c r="AH39" s="13" t="s">
        <v>286</v>
      </c>
      <c r="AI39" s="24" t="s">
        <v>287</v>
      </c>
      <c r="AJ39" s="24">
        <v>27</v>
      </c>
      <c r="AK39" s="24" t="s">
        <v>821</v>
      </c>
      <c r="AL39" s="24" t="s">
        <v>822</v>
      </c>
      <c r="AM39" s="24" t="s">
        <v>823</v>
      </c>
      <c r="AN39" s="24">
        <v>29730</v>
      </c>
      <c r="AO39" s="24" t="s">
        <v>818</v>
      </c>
      <c r="AP39" s="24">
        <v>321766</v>
      </c>
      <c r="AQ39" s="24" t="s">
        <v>12</v>
      </c>
      <c r="AR39" s="24" t="s">
        <v>12</v>
      </c>
      <c r="AS39" s="24" t="s">
        <v>824</v>
      </c>
      <c r="AT39" s="24"/>
    </row>
    <row r="40" spans="1:46" s="23" customFormat="1" ht="15" customHeight="1">
      <c r="A40" s="11">
        <v>38</v>
      </c>
      <c r="B40" s="12">
        <v>8938</v>
      </c>
      <c r="C40" s="12" t="s">
        <v>271</v>
      </c>
      <c r="D40" s="11" t="s">
        <v>49</v>
      </c>
      <c r="E40" s="13" t="s">
        <v>825</v>
      </c>
      <c r="F40" s="11" t="s">
        <v>826</v>
      </c>
      <c r="G40" s="12" t="s">
        <v>827</v>
      </c>
      <c r="H40" s="24" t="s">
        <v>828</v>
      </c>
      <c r="I40" s="13" t="s">
        <v>829</v>
      </c>
      <c r="J40" s="13" t="s">
        <v>830</v>
      </c>
      <c r="K40" s="24" t="s">
        <v>831</v>
      </c>
      <c r="L40" s="29" t="s">
        <v>832</v>
      </c>
      <c r="M40" s="13" t="s">
        <v>248</v>
      </c>
      <c r="N40" s="13" t="s">
        <v>833</v>
      </c>
      <c r="O40" s="13" t="s">
        <v>3</v>
      </c>
      <c r="P40" s="12" t="s">
        <v>834</v>
      </c>
      <c r="Q40" s="24" t="s">
        <v>835</v>
      </c>
      <c r="R40" s="12">
        <v>20662</v>
      </c>
      <c r="S40" s="13" t="s">
        <v>3</v>
      </c>
      <c r="T40" s="12" t="s">
        <v>834</v>
      </c>
      <c r="U40" s="24" t="s">
        <v>835</v>
      </c>
      <c r="V40" s="12">
        <v>20662</v>
      </c>
      <c r="W40" s="13" t="s">
        <v>544</v>
      </c>
      <c r="X40" s="13" t="s">
        <v>836</v>
      </c>
      <c r="Y40" s="13" t="s">
        <v>546</v>
      </c>
      <c r="Z40" s="24" t="s">
        <v>547</v>
      </c>
      <c r="AA40" s="24" t="s">
        <v>837</v>
      </c>
      <c r="AB40" s="24"/>
      <c r="AC40" s="24"/>
      <c r="AD40" s="24"/>
      <c r="AE40" s="24" t="s">
        <v>321</v>
      </c>
      <c r="AF40" s="24"/>
      <c r="AG40" s="24"/>
      <c r="AH40" s="24"/>
      <c r="AI40" s="24"/>
      <c r="AJ40" s="24"/>
      <c r="AK40" s="24" t="s">
        <v>322</v>
      </c>
      <c r="AL40" s="24" t="s">
        <v>838</v>
      </c>
      <c r="AM40" s="24" t="s">
        <v>839</v>
      </c>
      <c r="AN40" s="24">
        <v>32254</v>
      </c>
      <c r="AO40" s="24" t="s">
        <v>840</v>
      </c>
      <c r="AP40" s="24">
        <v>20663</v>
      </c>
      <c r="AQ40" s="24" t="s">
        <v>12</v>
      </c>
      <c r="AR40" s="24" t="s">
        <v>12</v>
      </c>
      <c r="AS40" s="24" t="s">
        <v>841</v>
      </c>
      <c r="AT40" s="24"/>
    </row>
    <row r="41" spans="1:46" s="23" customFormat="1" ht="15" customHeight="1">
      <c r="A41" s="11">
        <v>39</v>
      </c>
      <c r="B41" s="12">
        <v>9314</v>
      </c>
      <c r="C41" s="12" t="s">
        <v>271</v>
      </c>
      <c r="D41" s="11" t="s">
        <v>38</v>
      </c>
      <c r="E41" s="13" t="s">
        <v>842</v>
      </c>
      <c r="F41" s="11" t="s">
        <v>843</v>
      </c>
      <c r="G41" s="12" t="s">
        <v>844</v>
      </c>
      <c r="H41" s="24" t="s">
        <v>828</v>
      </c>
      <c r="I41" s="13" t="s">
        <v>845</v>
      </c>
      <c r="J41" s="13" t="s">
        <v>846</v>
      </c>
      <c r="K41" s="24" t="s">
        <v>847</v>
      </c>
      <c r="L41" s="13" t="s">
        <v>848</v>
      </c>
      <c r="M41" s="13"/>
      <c r="N41" s="13" t="s">
        <v>849</v>
      </c>
      <c r="O41" s="13" t="s">
        <v>3</v>
      </c>
      <c r="P41" s="12" t="s">
        <v>850</v>
      </c>
      <c r="Q41" s="24" t="s">
        <v>851</v>
      </c>
      <c r="R41" s="12">
        <v>20649</v>
      </c>
      <c r="S41" s="13" t="s">
        <v>3</v>
      </c>
      <c r="T41" s="12" t="s">
        <v>850</v>
      </c>
      <c r="U41" s="24" t="s">
        <v>851</v>
      </c>
      <c r="V41" s="12">
        <v>20649</v>
      </c>
      <c r="W41" s="13" t="s">
        <v>544</v>
      </c>
      <c r="X41" s="13" t="s">
        <v>852</v>
      </c>
      <c r="Y41" s="13" t="s">
        <v>546</v>
      </c>
      <c r="Z41" s="24" t="s">
        <v>547</v>
      </c>
      <c r="AA41" s="24" t="s">
        <v>853</v>
      </c>
      <c r="AB41" s="24"/>
      <c r="AC41" s="24"/>
      <c r="AD41" s="24"/>
      <c r="AE41" s="24" t="s">
        <v>321</v>
      </c>
      <c r="AF41" s="24"/>
      <c r="AG41" s="24"/>
      <c r="AH41" s="24"/>
      <c r="AI41" s="24"/>
      <c r="AJ41" s="24"/>
      <c r="AK41" s="24" t="s">
        <v>322</v>
      </c>
      <c r="AL41" s="24" t="s">
        <v>854</v>
      </c>
      <c r="AM41" s="24" t="s">
        <v>855</v>
      </c>
      <c r="AN41" s="24">
        <v>39809</v>
      </c>
      <c r="AO41" s="24" t="s">
        <v>856</v>
      </c>
      <c r="AP41" s="24">
        <v>20650</v>
      </c>
      <c r="AQ41" s="24" t="s">
        <v>12</v>
      </c>
      <c r="AR41" s="24" t="s">
        <v>12</v>
      </c>
      <c r="AS41" s="24" t="s">
        <v>857</v>
      </c>
      <c r="AT41" s="24"/>
    </row>
    <row r="42" spans="1:46" s="23" customFormat="1" ht="15" customHeight="1">
      <c r="A42" s="11">
        <v>40</v>
      </c>
      <c r="B42" s="12">
        <v>2718</v>
      </c>
      <c r="C42" s="12" t="s">
        <v>271</v>
      </c>
      <c r="D42" s="11" t="s">
        <v>36</v>
      </c>
      <c r="E42" s="13" t="s">
        <v>858</v>
      </c>
      <c r="F42" s="11" t="s">
        <v>859</v>
      </c>
      <c r="G42" s="12" t="s">
        <v>860</v>
      </c>
      <c r="H42" s="24" t="s">
        <v>828</v>
      </c>
      <c r="I42" s="13" t="s">
        <v>861</v>
      </c>
      <c r="J42" s="13" t="s">
        <v>862</v>
      </c>
      <c r="K42" s="24" t="s">
        <v>863</v>
      </c>
      <c r="L42" s="29" t="s">
        <v>864</v>
      </c>
      <c r="M42" s="13" t="s">
        <v>248</v>
      </c>
      <c r="N42" s="13" t="s">
        <v>865</v>
      </c>
      <c r="O42" s="13" t="s">
        <v>4</v>
      </c>
      <c r="P42" s="12" t="s">
        <v>866</v>
      </c>
      <c r="Q42" s="24" t="s">
        <v>867</v>
      </c>
      <c r="R42" s="12">
        <v>348510</v>
      </c>
      <c r="S42" s="24"/>
      <c r="T42" s="24"/>
      <c r="U42" s="24"/>
      <c r="V42" s="24" t="s">
        <v>283</v>
      </c>
      <c r="W42" s="24"/>
      <c r="X42" s="24"/>
      <c r="Y42" s="24"/>
      <c r="Z42" s="24"/>
      <c r="AA42" s="24"/>
      <c r="AB42" s="13" t="s">
        <v>4</v>
      </c>
      <c r="AC42" s="12" t="s">
        <v>866</v>
      </c>
      <c r="AD42" s="24" t="s">
        <v>867</v>
      </c>
      <c r="AE42" s="12">
        <v>348510</v>
      </c>
      <c r="AF42" s="13" t="s">
        <v>284</v>
      </c>
      <c r="AG42" s="13" t="s">
        <v>868</v>
      </c>
      <c r="AH42" s="13" t="s">
        <v>286</v>
      </c>
      <c r="AI42" s="24" t="s">
        <v>287</v>
      </c>
      <c r="AJ42" s="24">
        <v>42</v>
      </c>
      <c r="AK42" s="24" t="s">
        <v>869</v>
      </c>
      <c r="AL42" s="24" t="s">
        <v>870</v>
      </c>
      <c r="AM42" s="24" t="s">
        <v>871</v>
      </c>
      <c r="AN42" s="24">
        <v>32781</v>
      </c>
      <c r="AO42" s="24" t="s">
        <v>866</v>
      </c>
      <c r="AP42" s="24">
        <v>348516</v>
      </c>
      <c r="AQ42" s="24" t="s">
        <v>4</v>
      </c>
      <c r="AR42" s="24" t="s">
        <v>291</v>
      </c>
      <c r="AS42" s="24" t="s">
        <v>291</v>
      </c>
      <c r="AT42" s="24"/>
    </row>
    <row r="43" spans="1:46" s="23" customFormat="1" ht="15" customHeight="1">
      <c r="A43" s="11">
        <v>41</v>
      </c>
      <c r="B43" s="12">
        <v>3493</v>
      </c>
      <c r="C43" s="12" t="s">
        <v>271</v>
      </c>
      <c r="D43" s="11" t="s">
        <v>40</v>
      </c>
      <c r="E43" s="13" t="s">
        <v>872</v>
      </c>
      <c r="F43" s="11" t="s">
        <v>873</v>
      </c>
      <c r="G43" s="12" t="s">
        <v>874</v>
      </c>
      <c r="H43" s="24" t="s">
        <v>828</v>
      </c>
      <c r="I43" s="13" t="s">
        <v>875</v>
      </c>
      <c r="J43" s="13" t="s">
        <v>876</v>
      </c>
      <c r="K43" s="24" t="s">
        <v>877</v>
      </c>
      <c r="L43" s="29" t="s">
        <v>878</v>
      </c>
      <c r="M43" s="13" t="s">
        <v>248</v>
      </c>
      <c r="N43" s="13" t="s">
        <v>879</v>
      </c>
      <c r="O43" s="13" t="s">
        <v>4</v>
      </c>
      <c r="P43" s="12" t="s">
        <v>880</v>
      </c>
      <c r="Q43" s="24" t="s">
        <v>881</v>
      </c>
      <c r="R43" s="12">
        <v>368530</v>
      </c>
      <c r="S43" s="24"/>
      <c r="T43" s="24"/>
      <c r="U43" s="24"/>
      <c r="V43" s="24" t="s">
        <v>283</v>
      </c>
      <c r="W43" s="24"/>
      <c r="X43" s="24"/>
      <c r="Y43" s="24"/>
      <c r="Z43" s="24"/>
      <c r="AA43" s="24"/>
      <c r="AB43" s="13" t="s">
        <v>4</v>
      </c>
      <c r="AC43" s="12" t="s">
        <v>880</v>
      </c>
      <c r="AD43" s="24" t="s">
        <v>881</v>
      </c>
      <c r="AE43" s="12">
        <v>368530</v>
      </c>
      <c r="AF43" s="13" t="s">
        <v>284</v>
      </c>
      <c r="AG43" s="13" t="s">
        <v>882</v>
      </c>
      <c r="AH43" s="13" t="s">
        <v>286</v>
      </c>
      <c r="AI43" s="24" t="s">
        <v>287</v>
      </c>
      <c r="AJ43" s="24">
        <v>47</v>
      </c>
      <c r="AK43" s="24" t="s">
        <v>883</v>
      </c>
      <c r="AL43" s="24" t="s">
        <v>884</v>
      </c>
      <c r="AM43" s="24" t="s">
        <v>885</v>
      </c>
      <c r="AN43" s="24">
        <v>35636</v>
      </c>
      <c r="AO43" s="24" t="s">
        <v>880</v>
      </c>
      <c r="AP43" s="24">
        <v>368536</v>
      </c>
      <c r="AQ43" s="24" t="s">
        <v>4</v>
      </c>
      <c r="AR43" s="24" t="s">
        <v>291</v>
      </c>
      <c r="AS43" s="24" t="s">
        <v>291</v>
      </c>
      <c r="AT43" s="24"/>
    </row>
    <row r="44" spans="1:46" s="23" customFormat="1" ht="15" customHeight="1">
      <c r="A44" s="11">
        <v>42</v>
      </c>
      <c r="B44" s="12">
        <v>5759</v>
      </c>
      <c r="C44" s="12" t="s">
        <v>271</v>
      </c>
      <c r="D44" s="11" t="s">
        <v>28</v>
      </c>
      <c r="E44" s="13" t="s">
        <v>886</v>
      </c>
      <c r="F44" s="11" t="s">
        <v>887</v>
      </c>
      <c r="G44" s="12" t="s">
        <v>888</v>
      </c>
      <c r="H44" s="24" t="s">
        <v>828</v>
      </c>
      <c r="I44" s="13" t="s">
        <v>889</v>
      </c>
      <c r="J44" s="13" t="s">
        <v>890</v>
      </c>
      <c r="K44" s="24" t="s">
        <v>891</v>
      </c>
      <c r="L44" s="29" t="s">
        <v>892</v>
      </c>
      <c r="M44" s="13" t="s">
        <v>248</v>
      </c>
      <c r="N44" s="13" t="s">
        <v>893</v>
      </c>
      <c r="O44" s="13" t="s">
        <v>4</v>
      </c>
      <c r="P44" s="12" t="s">
        <v>894</v>
      </c>
      <c r="Q44" s="24" t="s">
        <v>895</v>
      </c>
      <c r="R44" s="12">
        <v>348010</v>
      </c>
      <c r="S44" s="24"/>
      <c r="T44" s="24"/>
      <c r="U44" s="24"/>
      <c r="V44" s="24" t="s">
        <v>283</v>
      </c>
      <c r="W44" s="24"/>
      <c r="X44" s="24"/>
      <c r="Y44" s="24"/>
      <c r="Z44" s="24"/>
      <c r="AA44" s="24"/>
      <c r="AB44" s="13" t="s">
        <v>4</v>
      </c>
      <c r="AC44" s="12" t="s">
        <v>894</v>
      </c>
      <c r="AD44" s="24" t="s">
        <v>895</v>
      </c>
      <c r="AE44" s="12">
        <v>348010</v>
      </c>
      <c r="AF44" s="13" t="s">
        <v>284</v>
      </c>
      <c r="AG44" s="13" t="s">
        <v>896</v>
      </c>
      <c r="AH44" s="13" t="s">
        <v>286</v>
      </c>
      <c r="AI44" s="24" t="s">
        <v>287</v>
      </c>
      <c r="AJ44" s="24">
        <v>41</v>
      </c>
      <c r="AK44" s="24" t="s">
        <v>897</v>
      </c>
      <c r="AL44" s="24" t="s">
        <v>898</v>
      </c>
      <c r="AM44" s="24" t="s">
        <v>899</v>
      </c>
      <c r="AN44" s="24">
        <v>35851</v>
      </c>
      <c r="AO44" s="24" t="s">
        <v>894</v>
      </c>
      <c r="AP44" s="24">
        <v>348016</v>
      </c>
      <c r="AQ44" s="24" t="s">
        <v>4</v>
      </c>
      <c r="AR44" s="24" t="s">
        <v>291</v>
      </c>
      <c r="AS44" s="24" t="s">
        <v>291</v>
      </c>
      <c r="AT44" s="24"/>
    </row>
    <row r="45" spans="1:46" s="23" customFormat="1" ht="15" customHeight="1">
      <c r="A45" s="11">
        <v>43</v>
      </c>
      <c r="B45" s="12">
        <v>7841</v>
      </c>
      <c r="C45" s="12" t="s">
        <v>271</v>
      </c>
      <c r="D45" s="11" t="s">
        <v>29</v>
      </c>
      <c r="E45" s="13" t="s">
        <v>900</v>
      </c>
      <c r="F45" s="11" t="s">
        <v>901</v>
      </c>
      <c r="G45" s="12" t="s">
        <v>902</v>
      </c>
      <c r="H45" s="24" t="s">
        <v>828</v>
      </c>
      <c r="I45" s="13" t="s">
        <v>903</v>
      </c>
      <c r="J45" s="13" t="s">
        <v>904</v>
      </c>
      <c r="K45" s="24" t="s">
        <v>905</v>
      </c>
      <c r="L45" s="29" t="s">
        <v>906</v>
      </c>
      <c r="M45" s="13" t="s">
        <v>248</v>
      </c>
      <c r="N45" s="13" t="s">
        <v>907</v>
      </c>
      <c r="O45" s="13" t="s">
        <v>3</v>
      </c>
      <c r="P45" s="12" t="s">
        <v>908</v>
      </c>
      <c r="Q45" s="24" t="s">
        <v>909</v>
      </c>
      <c r="R45" s="12">
        <v>23786</v>
      </c>
      <c r="S45" s="13" t="s">
        <v>3</v>
      </c>
      <c r="T45" s="12" t="s">
        <v>908</v>
      </c>
      <c r="U45" s="24" t="s">
        <v>909</v>
      </c>
      <c r="V45" s="12">
        <v>23786</v>
      </c>
      <c r="W45" s="13" t="s">
        <v>544</v>
      </c>
      <c r="X45" s="13" t="s">
        <v>910</v>
      </c>
      <c r="Y45" s="13" t="s">
        <v>546</v>
      </c>
      <c r="Z45" s="24" t="s">
        <v>547</v>
      </c>
      <c r="AA45" s="24" t="s">
        <v>911</v>
      </c>
      <c r="AB45" s="24"/>
      <c r="AC45" s="24"/>
      <c r="AD45" s="24"/>
      <c r="AE45" s="24" t="s">
        <v>321</v>
      </c>
      <c r="AF45" s="24"/>
      <c r="AG45" s="24"/>
      <c r="AH45" s="24"/>
      <c r="AI45" s="24"/>
      <c r="AJ45" s="24"/>
      <c r="AK45" s="24" t="s">
        <v>322</v>
      </c>
      <c r="AL45" s="24" t="s">
        <v>912</v>
      </c>
      <c r="AM45" s="24" t="s">
        <v>913</v>
      </c>
      <c r="AN45" s="24">
        <v>35958</v>
      </c>
      <c r="AO45" s="24" t="s">
        <v>914</v>
      </c>
      <c r="AP45" s="24">
        <v>23787</v>
      </c>
      <c r="AQ45" s="24" t="s">
        <v>342</v>
      </c>
      <c r="AR45" s="24" t="s">
        <v>291</v>
      </c>
      <c r="AS45" s="24" t="s">
        <v>291</v>
      </c>
      <c r="AT45" s="24"/>
    </row>
    <row r="46" spans="1:46" s="23" customFormat="1" ht="15" customHeight="1">
      <c r="A46" s="11">
        <v>44</v>
      </c>
      <c r="B46" s="12">
        <v>9395</v>
      </c>
      <c r="C46" s="12" t="s">
        <v>271</v>
      </c>
      <c r="D46" s="11" t="s">
        <v>30</v>
      </c>
      <c r="E46" s="13" t="s">
        <v>915</v>
      </c>
      <c r="F46" s="11" t="s">
        <v>916</v>
      </c>
      <c r="G46" s="12" t="s">
        <v>917</v>
      </c>
      <c r="H46" s="24" t="s">
        <v>828</v>
      </c>
      <c r="I46" s="13" t="s">
        <v>918</v>
      </c>
      <c r="J46" s="13" t="s">
        <v>919</v>
      </c>
      <c r="K46" s="24" t="s">
        <v>920</v>
      </c>
      <c r="L46" s="29" t="s">
        <v>921</v>
      </c>
      <c r="M46" s="13" t="s">
        <v>248</v>
      </c>
      <c r="N46" s="13" t="s">
        <v>922</v>
      </c>
      <c r="O46" s="13" t="s">
        <v>4</v>
      </c>
      <c r="P46" s="12" t="s">
        <v>923</v>
      </c>
      <c r="Q46" s="24" t="s">
        <v>924</v>
      </c>
      <c r="R46" s="12">
        <v>332350</v>
      </c>
      <c r="S46" s="24"/>
      <c r="T46" s="24"/>
      <c r="U46" s="24"/>
      <c r="V46" s="24" t="s">
        <v>283</v>
      </c>
      <c r="W46" s="24"/>
      <c r="X46" s="24"/>
      <c r="Y46" s="24"/>
      <c r="Z46" s="24"/>
      <c r="AA46" s="24"/>
      <c r="AB46" s="13" t="s">
        <v>4</v>
      </c>
      <c r="AC46" s="12" t="s">
        <v>923</v>
      </c>
      <c r="AD46" s="24" t="s">
        <v>924</v>
      </c>
      <c r="AE46" s="12">
        <v>332350</v>
      </c>
      <c r="AF46" s="13" t="s">
        <v>284</v>
      </c>
      <c r="AG46" s="13" t="s">
        <v>925</v>
      </c>
      <c r="AH46" s="13" t="s">
        <v>286</v>
      </c>
      <c r="AI46" s="24" t="s">
        <v>287</v>
      </c>
      <c r="AJ46" s="24">
        <v>216</v>
      </c>
      <c r="AK46" s="24" t="s">
        <v>926</v>
      </c>
      <c r="AL46" s="24" t="s">
        <v>927</v>
      </c>
      <c r="AM46" s="24" t="s">
        <v>928</v>
      </c>
      <c r="AN46" s="24">
        <v>15540</v>
      </c>
      <c r="AO46" s="24" t="s">
        <v>923</v>
      </c>
      <c r="AP46" s="24">
        <v>332356</v>
      </c>
      <c r="AQ46" s="24" t="s">
        <v>4</v>
      </c>
      <c r="AR46" s="24" t="s">
        <v>291</v>
      </c>
      <c r="AS46" s="24" t="s">
        <v>291</v>
      </c>
      <c r="AT46" s="24"/>
    </row>
    <row r="47" spans="1:46" s="23" customFormat="1" ht="15" customHeight="1">
      <c r="A47" s="11">
        <v>45</v>
      </c>
      <c r="B47" s="12">
        <v>5859</v>
      </c>
      <c r="C47" s="12" t="s">
        <v>271</v>
      </c>
      <c r="D47" s="11" t="s">
        <v>39</v>
      </c>
      <c r="E47" s="13" t="s">
        <v>929</v>
      </c>
      <c r="F47" s="11" t="s">
        <v>930</v>
      </c>
      <c r="G47" s="12" t="s">
        <v>931</v>
      </c>
      <c r="H47" s="24" t="s">
        <v>828</v>
      </c>
      <c r="I47" s="13" t="s">
        <v>932</v>
      </c>
      <c r="J47" s="13" t="s">
        <v>933</v>
      </c>
      <c r="K47" s="24" t="s">
        <v>934</v>
      </c>
      <c r="L47" s="29" t="s">
        <v>935</v>
      </c>
      <c r="M47" s="13" t="s">
        <v>248</v>
      </c>
      <c r="N47" s="13" t="s">
        <v>936</v>
      </c>
      <c r="O47" s="13" t="s">
        <v>3</v>
      </c>
      <c r="P47" s="12" t="s">
        <v>937</v>
      </c>
      <c r="Q47" s="24" t="s">
        <v>938</v>
      </c>
      <c r="R47" s="12">
        <v>25116</v>
      </c>
      <c r="S47" s="13" t="s">
        <v>3</v>
      </c>
      <c r="T47" s="12" t="s">
        <v>937</v>
      </c>
      <c r="U47" s="24" t="s">
        <v>938</v>
      </c>
      <c r="V47" s="12">
        <v>25116</v>
      </c>
      <c r="W47" s="13" t="s">
        <v>544</v>
      </c>
      <c r="X47" s="13" t="s">
        <v>939</v>
      </c>
      <c r="Y47" s="13" t="s">
        <v>546</v>
      </c>
      <c r="Z47" s="24" t="s">
        <v>547</v>
      </c>
      <c r="AA47" s="24" t="s">
        <v>940</v>
      </c>
      <c r="AB47" s="24"/>
      <c r="AC47" s="24"/>
      <c r="AD47" s="24"/>
      <c r="AE47" s="24" t="s">
        <v>321</v>
      </c>
      <c r="AF47" s="24"/>
      <c r="AG47" s="24"/>
      <c r="AH47" s="24"/>
      <c r="AI47" s="24"/>
      <c r="AJ47" s="24"/>
      <c r="AK47" s="24" t="s">
        <v>322</v>
      </c>
      <c r="AL47" s="24" t="s">
        <v>941</v>
      </c>
      <c r="AM47" s="24" t="s">
        <v>942</v>
      </c>
      <c r="AN47" s="24">
        <v>44433</v>
      </c>
      <c r="AO47" s="24" t="s">
        <v>943</v>
      </c>
      <c r="AP47" s="24">
        <v>25117</v>
      </c>
      <c r="AQ47" s="24" t="s">
        <v>12</v>
      </c>
      <c r="AR47" s="24" t="s">
        <v>12</v>
      </c>
      <c r="AS47" s="24" t="s">
        <v>944</v>
      </c>
      <c r="AT47" s="24"/>
    </row>
    <row r="48" spans="1:46" s="23" customFormat="1" ht="15" customHeight="1">
      <c r="A48" s="11">
        <v>46</v>
      </c>
      <c r="B48" s="12">
        <v>7838</v>
      </c>
      <c r="C48" s="12" t="s">
        <v>271</v>
      </c>
      <c r="D48" s="11" t="s">
        <v>48</v>
      </c>
      <c r="E48" s="13" t="s">
        <v>945</v>
      </c>
      <c r="F48" s="11" t="s">
        <v>946</v>
      </c>
      <c r="G48" s="12" t="s">
        <v>947</v>
      </c>
      <c r="H48" s="24" t="s">
        <v>828</v>
      </c>
      <c r="I48" s="13" t="s">
        <v>948</v>
      </c>
      <c r="J48" s="13" t="s">
        <v>949</v>
      </c>
      <c r="K48" s="24" t="s">
        <v>950</v>
      </c>
      <c r="L48" s="29" t="s">
        <v>951</v>
      </c>
      <c r="M48" s="13" t="s">
        <v>248</v>
      </c>
      <c r="N48" s="13" t="s">
        <v>952</v>
      </c>
      <c r="O48" s="13" t="s">
        <v>3</v>
      </c>
      <c r="P48" s="12" t="s">
        <v>953</v>
      </c>
      <c r="Q48" s="24" t="s">
        <v>954</v>
      </c>
      <c r="R48" s="12">
        <v>20653</v>
      </c>
      <c r="S48" s="13" t="s">
        <v>3</v>
      </c>
      <c r="T48" s="12" t="s">
        <v>953</v>
      </c>
      <c r="U48" s="24" t="s">
        <v>954</v>
      </c>
      <c r="V48" s="12">
        <v>20653</v>
      </c>
      <c r="W48" s="13" t="s">
        <v>544</v>
      </c>
      <c r="X48" s="13" t="s">
        <v>955</v>
      </c>
      <c r="Y48" s="13" t="s">
        <v>546</v>
      </c>
      <c r="Z48" s="24" t="s">
        <v>547</v>
      </c>
      <c r="AA48" s="24" t="s">
        <v>956</v>
      </c>
      <c r="AB48" s="24"/>
      <c r="AC48" s="24"/>
      <c r="AD48" s="24"/>
      <c r="AE48" s="24" t="s">
        <v>321</v>
      </c>
      <c r="AF48" s="24"/>
      <c r="AG48" s="24"/>
      <c r="AH48" s="24"/>
      <c r="AI48" s="24"/>
      <c r="AJ48" s="24"/>
      <c r="AK48" s="24" t="s">
        <v>322</v>
      </c>
      <c r="AL48" s="24" t="s">
        <v>957</v>
      </c>
      <c r="AM48" s="24" t="s">
        <v>958</v>
      </c>
      <c r="AN48" s="24">
        <v>35852</v>
      </c>
      <c r="AO48" s="24" t="s">
        <v>959</v>
      </c>
      <c r="AP48" s="24">
        <v>20654</v>
      </c>
      <c r="AQ48" s="24" t="s">
        <v>3</v>
      </c>
      <c r="AR48" s="24" t="s">
        <v>291</v>
      </c>
      <c r="AS48" s="24" t="s">
        <v>291</v>
      </c>
      <c r="AT48" s="24"/>
    </row>
    <row r="49" spans="1:46" s="23" customFormat="1" ht="15" customHeight="1">
      <c r="A49" s="11">
        <v>47</v>
      </c>
      <c r="B49" s="12">
        <v>9324</v>
      </c>
      <c r="C49" s="12" t="s">
        <v>271</v>
      </c>
      <c r="D49" s="11" t="s">
        <v>51</v>
      </c>
      <c r="E49" s="13" t="s">
        <v>960</v>
      </c>
      <c r="F49" s="11" t="s">
        <v>961</v>
      </c>
      <c r="G49" s="12" t="s">
        <v>962</v>
      </c>
      <c r="H49" s="24" t="s">
        <v>828</v>
      </c>
      <c r="I49" s="13" t="s">
        <v>963</v>
      </c>
      <c r="J49" s="13" t="s">
        <v>964</v>
      </c>
      <c r="K49" s="24" t="s">
        <v>965</v>
      </c>
      <c r="L49" s="13" t="s">
        <v>966</v>
      </c>
      <c r="M49" s="13"/>
      <c r="N49" s="13" t="s">
        <v>967</v>
      </c>
      <c r="O49" s="13" t="s">
        <v>3</v>
      </c>
      <c r="P49" s="12" t="s">
        <v>968</v>
      </c>
      <c r="Q49" s="24" t="s">
        <v>969</v>
      </c>
      <c r="R49" s="12">
        <v>20666</v>
      </c>
      <c r="S49" s="13" t="s">
        <v>3</v>
      </c>
      <c r="T49" s="12" t="s">
        <v>968</v>
      </c>
      <c r="U49" s="24" t="s">
        <v>969</v>
      </c>
      <c r="V49" s="12">
        <v>20666</v>
      </c>
      <c r="W49" s="13" t="s">
        <v>544</v>
      </c>
      <c r="X49" s="13" t="s">
        <v>970</v>
      </c>
      <c r="Y49" s="13" t="s">
        <v>546</v>
      </c>
      <c r="Z49" s="24" t="s">
        <v>547</v>
      </c>
      <c r="AA49" s="24" t="s">
        <v>971</v>
      </c>
      <c r="AB49" s="24"/>
      <c r="AC49" s="24"/>
      <c r="AD49" s="24"/>
      <c r="AE49" s="24" t="s">
        <v>321</v>
      </c>
      <c r="AF49" s="24"/>
      <c r="AG49" s="24"/>
      <c r="AH49" s="24"/>
      <c r="AI49" s="24"/>
      <c r="AJ49" s="24"/>
      <c r="AK49" s="24" t="s">
        <v>322</v>
      </c>
      <c r="AL49" s="24" t="s">
        <v>972</v>
      </c>
      <c r="AM49" s="24" t="s">
        <v>973</v>
      </c>
      <c r="AN49" s="24">
        <v>39877</v>
      </c>
      <c r="AO49" s="24" t="s">
        <v>974</v>
      </c>
      <c r="AP49" s="24">
        <v>20667</v>
      </c>
      <c r="AQ49" s="24" t="s">
        <v>12</v>
      </c>
      <c r="AR49" s="24" t="s">
        <v>12</v>
      </c>
      <c r="AS49" s="24" t="s">
        <v>975</v>
      </c>
      <c r="AT49" s="24"/>
    </row>
    <row r="50" spans="1:46" s="23" customFormat="1" ht="15" customHeight="1">
      <c r="A50" s="11">
        <v>48</v>
      </c>
      <c r="B50" s="12">
        <v>8956</v>
      </c>
      <c r="C50" s="12" t="s">
        <v>271</v>
      </c>
      <c r="D50" s="11" t="s">
        <v>50</v>
      </c>
      <c r="E50" s="13" t="s">
        <v>976</v>
      </c>
      <c r="F50" s="11" t="s">
        <v>977</v>
      </c>
      <c r="G50" s="12" t="s">
        <v>978</v>
      </c>
      <c r="H50" s="24" t="s">
        <v>828</v>
      </c>
      <c r="I50" s="13" t="s">
        <v>979</v>
      </c>
      <c r="J50" s="13" t="s">
        <v>980</v>
      </c>
      <c r="K50" s="24" t="s">
        <v>981</v>
      </c>
      <c r="L50" s="29" t="s">
        <v>982</v>
      </c>
      <c r="M50" s="13" t="s">
        <v>248</v>
      </c>
      <c r="N50" s="13" t="s">
        <v>983</v>
      </c>
      <c r="O50" s="13" t="s">
        <v>4</v>
      </c>
      <c r="P50" s="12" t="s">
        <v>984</v>
      </c>
      <c r="Q50" s="24" t="s">
        <v>835</v>
      </c>
      <c r="R50" s="12">
        <v>342110</v>
      </c>
      <c r="S50" s="24"/>
      <c r="T50" s="24"/>
      <c r="U50" s="24"/>
      <c r="V50" s="24" t="s">
        <v>283</v>
      </c>
      <c r="W50" s="24"/>
      <c r="X50" s="24"/>
      <c r="Y50" s="24"/>
      <c r="Z50" s="24"/>
      <c r="AA50" s="24"/>
      <c r="AB50" s="13" t="s">
        <v>4</v>
      </c>
      <c r="AC50" s="12" t="s">
        <v>984</v>
      </c>
      <c r="AD50" s="24" t="s">
        <v>835</v>
      </c>
      <c r="AE50" s="12">
        <v>342110</v>
      </c>
      <c r="AF50" s="13" t="s">
        <v>284</v>
      </c>
      <c r="AG50" s="13" t="s">
        <v>985</v>
      </c>
      <c r="AH50" s="13" t="s">
        <v>286</v>
      </c>
      <c r="AI50" s="24" t="s">
        <v>287</v>
      </c>
      <c r="AJ50" s="24">
        <v>36</v>
      </c>
      <c r="AK50" s="24" t="s">
        <v>986</v>
      </c>
      <c r="AL50" s="24" t="s">
        <v>987</v>
      </c>
      <c r="AM50" s="24" t="s">
        <v>988</v>
      </c>
      <c r="AN50" s="24">
        <v>37137</v>
      </c>
      <c r="AO50" s="24" t="s">
        <v>984</v>
      </c>
      <c r="AP50" s="24">
        <v>342116</v>
      </c>
      <c r="AQ50" s="24" t="s">
        <v>4</v>
      </c>
      <c r="AR50" s="24" t="s">
        <v>291</v>
      </c>
      <c r="AS50" s="24" t="s">
        <v>291</v>
      </c>
      <c r="AT50" s="24"/>
    </row>
    <row r="51" spans="1:46" s="23" customFormat="1" ht="15" customHeight="1">
      <c r="A51" s="11">
        <v>49</v>
      </c>
      <c r="B51" s="12">
        <v>9312</v>
      </c>
      <c r="C51" s="12" t="s">
        <v>271</v>
      </c>
      <c r="D51" s="11" t="s">
        <v>46</v>
      </c>
      <c r="E51" s="13" t="s">
        <v>989</v>
      </c>
      <c r="F51" s="11" t="s">
        <v>990</v>
      </c>
      <c r="G51" s="12" t="s">
        <v>991</v>
      </c>
      <c r="H51" s="24" t="s">
        <v>828</v>
      </c>
      <c r="I51" s="13" t="s">
        <v>992</v>
      </c>
      <c r="J51" s="13" t="s">
        <v>993</v>
      </c>
      <c r="K51" s="24" t="s">
        <v>994</v>
      </c>
      <c r="L51" s="29" t="s">
        <v>995</v>
      </c>
      <c r="M51" s="13" t="s">
        <v>248</v>
      </c>
      <c r="N51" s="13" t="s">
        <v>996</v>
      </c>
      <c r="O51" s="13" t="s">
        <v>4</v>
      </c>
      <c r="P51" s="12" t="s">
        <v>997</v>
      </c>
      <c r="Q51" s="24" t="s">
        <v>998</v>
      </c>
      <c r="R51" s="12">
        <v>348900</v>
      </c>
      <c r="S51" s="24"/>
      <c r="T51" s="24"/>
      <c r="U51" s="24"/>
      <c r="V51" s="24" t="s">
        <v>283</v>
      </c>
      <c r="W51" s="24"/>
      <c r="X51" s="24"/>
      <c r="Y51" s="24"/>
      <c r="Z51" s="24"/>
      <c r="AA51" s="24"/>
      <c r="AB51" s="13" t="s">
        <v>4</v>
      </c>
      <c r="AC51" s="12" t="s">
        <v>997</v>
      </c>
      <c r="AD51" s="24" t="s">
        <v>998</v>
      </c>
      <c r="AE51" s="12">
        <v>348900</v>
      </c>
      <c r="AF51" s="13" t="s">
        <v>284</v>
      </c>
      <c r="AG51" s="13" t="s">
        <v>999</v>
      </c>
      <c r="AH51" s="13" t="s">
        <v>286</v>
      </c>
      <c r="AI51" s="24" t="s">
        <v>287</v>
      </c>
      <c r="AJ51" s="24">
        <v>16</v>
      </c>
      <c r="AK51" s="24" t="s">
        <v>1000</v>
      </c>
      <c r="AL51" s="24" t="s">
        <v>1001</v>
      </c>
      <c r="AM51" s="24" t="s">
        <v>1002</v>
      </c>
      <c r="AN51" s="24">
        <v>40002</v>
      </c>
      <c r="AO51" s="24" t="s">
        <v>997</v>
      </c>
      <c r="AP51" s="24">
        <v>348906</v>
      </c>
      <c r="AQ51" s="24" t="s">
        <v>4</v>
      </c>
      <c r="AR51" s="24" t="s">
        <v>291</v>
      </c>
      <c r="AS51" s="24" t="s">
        <v>291</v>
      </c>
      <c r="AT51" s="24"/>
    </row>
    <row r="52" spans="1:46" s="23" customFormat="1" ht="15" customHeight="1">
      <c r="A52" s="11">
        <v>50</v>
      </c>
      <c r="B52" s="12">
        <v>9339</v>
      </c>
      <c r="C52" s="12" t="s">
        <v>271</v>
      </c>
      <c r="D52" s="11" t="s">
        <v>47</v>
      </c>
      <c r="E52" s="13" t="s">
        <v>1003</v>
      </c>
      <c r="F52" s="11" t="s">
        <v>1004</v>
      </c>
      <c r="G52" s="12" t="s">
        <v>1005</v>
      </c>
      <c r="H52" s="24" t="s">
        <v>828</v>
      </c>
      <c r="I52" s="13" t="s">
        <v>1006</v>
      </c>
      <c r="J52" s="13" t="s">
        <v>1007</v>
      </c>
      <c r="K52" s="24" t="s">
        <v>1008</v>
      </c>
      <c r="L52" s="29" t="s">
        <v>1009</v>
      </c>
      <c r="M52" s="13" t="s">
        <v>248</v>
      </c>
      <c r="N52" s="13" t="s">
        <v>1010</v>
      </c>
      <c r="O52" s="13" t="s">
        <v>4</v>
      </c>
      <c r="P52" s="12" t="s">
        <v>1011</v>
      </c>
      <c r="Q52" s="24" t="s">
        <v>1012</v>
      </c>
      <c r="R52" s="12">
        <v>346290</v>
      </c>
      <c r="S52" s="24"/>
      <c r="T52" s="24"/>
      <c r="U52" s="24"/>
      <c r="V52" s="24" t="s">
        <v>283</v>
      </c>
      <c r="W52" s="24"/>
      <c r="X52" s="24"/>
      <c r="Y52" s="24"/>
      <c r="Z52" s="24"/>
      <c r="AA52" s="24"/>
      <c r="AB52" s="13" t="s">
        <v>4</v>
      </c>
      <c r="AC52" s="12" t="s">
        <v>1011</v>
      </c>
      <c r="AD52" s="24" t="s">
        <v>1012</v>
      </c>
      <c r="AE52" s="12">
        <v>346290</v>
      </c>
      <c r="AF52" s="13" t="s">
        <v>284</v>
      </c>
      <c r="AG52" s="13" t="s">
        <v>1013</v>
      </c>
      <c r="AH52" s="13" t="s">
        <v>286</v>
      </c>
      <c r="AI52" s="24" t="s">
        <v>287</v>
      </c>
      <c r="AJ52" s="24">
        <v>38</v>
      </c>
      <c r="AK52" s="24" t="s">
        <v>1014</v>
      </c>
      <c r="AL52" s="24" t="s">
        <v>1015</v>
      </c>
      <c r="AM52" s="24" t="s">
        <v>1016</v>
      </c>
      <c r="AN52" s="24">
        <v>36376</v>
      </c>
      <c r="AO52" s="24" t="s">
        <v>1011</v>
      </c>
      <c r="AP52" s="24">
        <v>346296</v>
      </c>
      <c r="AQ52" s="24" t="s">
        <v>4</v>
      </c>
      <c r="AR52" s="24" t="s">
        <v>291</v>
      </c>
      <c r="AS52" s="24" t="s">
        <v>291</v>
      </c>
      <c r="AT52" s="24"/>
    </row>
    <row r="53" spans="1:46" s="23" customFormat="1" ht="15" customHeight="1">
      <c r="A53" s="11">
        <v>51</v>
      </c>
      <c r="B53" s="12">
        <v>9398</v>
      </c>
      <c r="C53" s="12" t="s">
        <v>271</v>
      </c>
      <c r="D53" s="11" t="s">
        <v>45</v>
      </c>
      <c r="E53" s="13" t="s">
        <v>1017</v>
      </c>
      <c r="F53" s="11" t="s">
        <v>1018</v>
      </c>
      <c r="G53" s="12" t="s">
        <v>1019</v>
      </c>
      <c r="H53" s="24" t="s">
        <v>828</v>
      </c>
      <c r="I53" s="13" t="s">
        <v>1020</v>
      </c>
      <c r="J53" s="13" t="s">
        <v>1021</v>
      </c>
      <c r="K53" s="24" t="s">
        <v>1022</v>
      </c>
      <c r="L53" s="29" t="s">
        <v>1023</v>
      </c>
      <c r="M53" s="13" t="s">
        <v>248</v>
      </c>
      <c r="N53" s="13" t="s">
        <v>1024</v>
      </c>
      <c r="O53" s="13" t="s">
        <v>4</v>
      </c>
      <c r="P53" s="12" t="s">
        <v>1025</v>
      </c>
      <c r="Q53" s="24" t="s">
        <v>1026</v>
      </c>
      <c r="R53" s="12">
        <v>348660</v>
      </c>
      <c r="S53" s="24"/>
      <c r="T53" s="24"/>
      <c r="U53" s="24"/>
      <c r="V53" s="24" t="s">
        <v>283</v>
      </c>
      <c r="W53" s="24"/>
      <c r="X53" s="24"/>
      <c r="Y53" s="24"/>
      <c r="Z53" s="24"/>
      <c r="AA53" s="24"/>
      <c r="AB53" s="13" t="s">
        <v>4</v>
      </c>
      <c r="AC53" s="12" t="s">
        <v>1025</v>
      </c>
      <c r="AD53" s="24" t="s">
        <v>1026</v>
      </c>
      <c r="AE53" s="12">
        <v>348660</v>
      </c>
      <c r="AF53" s="13" t="s">
        <v>284</v>
      </c>
      <c r="AG53" s="13" t="s">
        <v>1027</v>
      </c>
      <c r="AH53" s="13" t="s">
        <v>286</v>
      </c>
      <c r="AI53" s="24" t="s">
        <v>287</v>
      </c>
      <c r="AJ53" s="24">
        <v>43</v>
      </c>
      <c r="AK53" s="24" t="s">
        <v>1028</v>
      </c>
      <c r="AL53" s="24" t="s">
        <v>1029</v>
      </c>
      <c r="AM53" s="24" t="s">
        <v>1030</v>
      </c>
      <c r="AN53" s="24">
        <v>36634</v>
      </c>
      <c r="AO53" s="24" t="s">
        <v>1025</v>
      </c>
      <c r="AP53" s="24">
        <v>348666</v>
      </c>
      <c r="AQ53" s="24" t="s">
        <v>12</v>
      </c>
      <c r="AR53" s="24" t="s">
        <v>12</v>
      </c>
      <c r="AS53" s="24" t="s">
        <v>1031</v>
      </c>
      <c r="AT53" s="24"/>
    </row>
    <row r="54" spans="1:46" s="23" customFormat="1" ht="15" customHeight="1">
      <c r="A54" s="11">
        <v>52</v>
      </c>
      <c r="B54" s="12">
        <v>9340</v>
      </c>
      <c r="C54" s="12" t="s">
        <v>271</v>
      </c>
      <c r="D54" s="11" t="s">
        <v>37</v>
      </c>
      <c r="E54" s="13" t="s">
        <v>1032</v>
      </c>
      <c r="F54" s="11" t="s">
        <v>1033</v>
      </c>
      <c r="G54" s="12" t="s">
        <v>1034</v>
      </c>
      <c r="H54" s="24" t="s">
        <v>828</v>
      </c>
      <c r="I54" s="13" t="s">
        <v>1035</v>
      </c>
      <c r="J54" s="13" t="s">
        <v>1036</v>
      </c>
      <c r="K54" s="24" t="s">
        <v>1037</v>
      </c>
      <c r="L54" s="29" t="s">
        <v>1038</v>
      </c>
      <c r="M54" s="13" t="s">
        <v>248</v>
      </c>
      <c r="N54" s="13" t="s">
        <v>1039</v>
      </c>
      <c r="O54" s="13" t="s">
        <v>4</v>
      </c>
      <c r="P54" s="12" t="s">
        <v>1040</v>
      </c>
      <c r="Q54" s="24" t="s">
        <v>1041</v>
      </c>
      <c r="R54" s="12">
        <v>377110</v>
      </c>
      <c r="S54" s="24"/>
      <c r="T54" s="24"/>
      <c r="U54" s="24"/>
      <c r="V54" s="24" t="s">
        <v>283</v>
      </c>
      <c r="W54" s="24"/>
      <c r="X54" s="24"/>
      <c r="Y54" s="24"/>
      <c r="Z54" s="24"/>
      <c r="AA54" s="24"/>
      <c r="AB54" s="13" t="s">
        <v>4</v>
      </c>
      <c r="AC54" s="12" t="s">
        <v>1040</v>
      </c>
      <c r="AD54" s="24" t="s">
        <v>1041</v>
      </c>
      <c r="AE54" s="12">
        <v>377110</v>
      </c>
      <c r="AF54" s="13" t="s">
        <v>284</v>
      </c>
      <c r="AG54" s="13" t="s">
        <v>1042</v>
      </c>
      <c r="AH54" s="13" t="s">
        <v>286</v>
      </c>
      <c r="AI54" s="24" t="s">
        <v>287</v>
      </c>
      <c r="AJ54" s="24">
        <v>49</v>
      </c>
      <c r="AK54" s="24" t="s">
        <v>1043</v>
      </c>
      <c r="AL54" s="24" t="s">
        <v>1044</v>
      </c>
      <c r="AM54" s="24" t="s">
        <v>1045</v>
      </c>
      <c r="AN54" s="24">
        <v>36379</v>
      </c>
      <c r="AO54" s="24" t="s">
        <v>1040</v>
      </c>
      <c r="AP54" s="24">
        <v>377116</v>
      </c>
      <c r="AQ54" s="24" t="s">
        <v>4</v>
      </c>
      <c r="AR54" s="24" t="s">
        <v>291</v>
      </c>
      <c r="AS54" s="24" t="s">
        <v>291</v>
      </c>
      <c r="AT54" s="24"/>
    </row>
    <row r="55" spans="1:46" s="23" customFormat="1" ht="15" customHeight="1">
      <c r="A55" s="11">
        <v>53</v>
      </c>
      <c r="B55" s="12">
        <v>9391</v>
      </c>
      <c r="C55" s="12" t="s">
        <v>271</v>
      </c>
      <c r="D55" s="11" t="s">
        <v>44</v>
      </c>
      <c r="E55" s="13" t="s">
        <v>1046</v>
      </c>
      <c r="F55" s="11" t="s">
        <v>1047</v>
      </c>
      <c r="G55" s="12" t="s">
        <v>1048</v>
      </c>
      <c r="H55" s="24" t="s">
        <v>828</v>
      </c>
      <c r="I55" s="13" t="s">
        <v>1049</v>
      </c>
      <c r="J55" s="13" t="s">
        <v>1050</v>
      </c>
      <c r="K55" s="24" t="s">
        <v>1051</v>
      </c>
      <c r="L55" s="29" t="s">
        <v>1052</v>
      </c>
      <c r="M55" s="13" t="s">
        <v>248</v>
      </c>
      <c r="N55" s="13" t="s">
        <v>1053</v>
      </c>
      <c r="O55" s="13" t="s">
        <v>4</v>
      </c>
      <c r="P55" s="12" t="s">
        <v>1054</v>
      </c>
      <c r="Q55" s="24" t="s">
        <v>1055</v>
      </c>
      <c r="R55" s="12">
        <v>374370</v>
      </c>
      <c r="S55" s="24"/>
      <c r="T55" s="24"/>
      <c r="U55" s="24"/>
      <c r="V55" s="24" t="s">
        <v>283</v>
      </c>
      <c r="W55" s="24"/>
      <c r="X55" s="24"/>
      <c r="Y55" s="24"/>
      <c r="Z55" s="24"/>
      <c r="AA55" s="24"/>
      <c r="AB55" s="13" t="s">
        <v>4</v>
      </c>
      <c r="AC55" s="12" t="s">
        <v>1054</v>
      </c>
      <c r="AD55" s="24" t="s">
        <v>1055</v>
      </c>
      <c r="AE55" s="12">
        <v>374370</v>
      </c>
      <c r="AF55" s="13" t="s">
        <v>284</v>
      </c>
      <c r="AG55" s="13" t="s">
        <v>1056</v>
      </c>
      <c r="AH55" s="13" t="s">
        <v>286</v>
      </c>
      <c r="AI55" s="24" t="s">
        <v>287</v>
      </c>
      <c r="AJ55" s="24">
        <v>48</v>
      </c>
      <c r="AK55" s="24" t="s">
        <v>1057</v>
      </c>
      <c r="AL55" s="24" t="s">
        <v>1058</v>
      </c>
      <c r="AM55" s="24" t="s">
        <v>1059</v>
      </c>
      <c r="AN55" s="24">
        <v>36081</v>
      </c>
      <c r="AO55" s="24" t="s">
        <v>1054</v>
      </c>
      <c r="AP55" s="24">
        <v>374376</v>
      </c>
      <c r="AQ55" s="24" t="s">
        <v>4</v>
      </c>
      <c r="AR55" s="24" t="s">
        <v>291</v>
      </c>
      <c r="AS55" s="24" t="s">
        <v>291</v>
      </c>
      <c r="AT55" s="24"/>
    </row>
    <row r="56" spans="1:46" s="23" customFormat="1" ht="15" customHeight="1">
      <c r="A56" s="11">
        <v>54</v>
      </c>
      <c r="B56" s="12">
        <v>72259</v>
      </c>
      <c r="C56" s="12" t="s">
        <v>271</v>
      </c>
      <c r="D56" s="11" t="s">
        <v>210</v>
      </c>
      <c r="E56" s="13" t="s">
        <v>1060</v>
      </c>
      <c r="F56" s="11" t="s">
        <v>1061</v>
      </c>
      <c r="G56" s="12" t="s">
        <v>1062</v>
      </c>
      <c r="H56" s="24" t="s">
        <v>828</v>
      </c>
      <c r="I56" s="13" t="s">
        <v>1063</v>
      </c>
      <c r="J56" s="13" t="s">
        <v>1064</v>
      </c>
      <c r="K56" s="24" t="s">
        <v>1065</v>
      </c>
      <c r="L56" s="29" t="s">
        <v>1066</v>
      </c>
      <c r="M56" s="13" t="s">
        <v>248</v>
      </c>
      <c r="N56" s="13" t="s">
        <v>1067</v>
      </c>
      <c r="O56" s="13" t="s">
        <v>3</v>
      </c>
      <c r="P56" s="12" t="s">
        <v>1068</v>
      </c>
      <c r="Q56" s="24" t="s">
        <v>1069</v>
      </c>
      <c r="R56" s="12">
        <v>20645</v>
      </c>
      <c r="S56" s="13" t="s">
        <v>3</v>
      </c>
      <c r="T56" s="12" t="s">
        <v>1068</v>
      </c>
      <c r="U56" s="24" t="s">
        <v>1069</v>
      </c>
      <c r="V56" s="12">
        <v>20645</v>
      </c>
      <c r="W56" s="13" t="s">
        <v>544</v>
      </c>
      <c r="X56" s="13" t="s">
        <v>1070</v>
      </c>
      <c r="Y56" s="13" t="s">
        <v>546</v>
      </c>
      <c r="Z56" s="24" t="s">
        <v>547</v>
      </c>
      <c r="AA56" s="24" t="s">
        <v>1071</v>
      </c>
      <c r="AB56" s="24"/>
      <c r="AC56" s="24"/>
      <c r="AD56" s="24"/>
      <c r="AE56" s="24" t="s">
        <v>321</v>
      </c>
      <c r="AF56" s="24"/>
      <c r="AG56" s="24"/>
      <c r="AH56" s="24"/>
      <c r="AI56" s="24"/>
      <c r="AJ56" s="24"/>
      <c r="AK56" s="24" t="s">
        <v>322</v>
      </c>
      <c r="AL56" s="24" t="s">
        <v>1072</v>
      </c>
      <c r="AM56" s="24" t="s">
        <v>1073</v>
      </c>
      <c r="AN56" s="24">
        <v>47088</v>
      </c>
      <c r="AO56" s="24" t="s">
        <v>1074</v>
      </c>
      <c r="AP56" s="24">
        <v>20646</v>
      </c>
      <c r="AQ56" s="24" t="s">
        <v>12</v>
      </c>
      <c r="AR56" s="24" t="s">
        <v>12</v>
      </c>
      <c r="AS56" s="24" t="s">
        <v>1075</v>
      </c>
      <c r="AT56" s="24"/>
    </row>
    <row r="57" spans="1:46" s="23" customFormat="1" ht="15" customHeight="1">
      <c r="A57" s="11">
        <v>55</v>
      </c>
      <c r="B57" s="12">
        <v>72777</v>
      </c>
      <c r="C57" s="12" t="s">
        <v>271</v>
      </c>
      <c r="D57" s="11" t="s">
        <v>212</v>
      </c>
      <c r="E57" s="13" t="s">
        <v>1076</v>
      </c>
      <c r="F57" s="11" t="s">
        <v>1077</v>
      </c>
      <c r="G57" s="12" t="s">
        <v>1078</v>
      </c>
      <c r="H57" s="24" t="s">
        <v>828</v>
      </c>
      <c r="I57" s="13" t="s">
        <v>1079</v>
      </c>
      <c r="J57" s="13" t="s">
        <v>1080</v>
      </c>
      <c r="K57" s="24" t="s">
        <v>1081</v>
      </c>
      <c r="L57" s="29" t="s">
        <v>1082</v>
      </c>
      <c r="M57" s="13" t="s">
        <v>248</v>
      </c>
      <c r="N57" s="13" t="s">
        <v>1083</v>
      </c>
      <c r="O57" s="13" t="s">
        <v>3</v>
      </c>
      <c r="P57" s="12" t="s">
        <v>1084</v>
      </c>
      <c r="Q57" s="24" t="s">
        <v>1069</v>
      </c>
      <c r="R57" s="12">
        <v>20641</v>
      </c>
      <c r="S57" s="13" t="s">
        <v>3</v>
      </c>
      <c r="T57" s="12" t="s">
        <v>1084</v>
      </c>
      <c r="U57" s="24" t="s">
        <v>1069</v>
      </c>
      <c r="V57" s="12">
        <v>20641</v>
      </c>
      <c r="W57" s="13" t="s">
        <v>544</v>
      </c>
      <c r="X57" s="13" t="s">
        <v>1085</v>
      </c>
      <c r="Y57" s="13" t="s">
        <v>546</v>
      </c>
      <c r="Z57" s="24" t="s">
        <v>547</v>
      </c>
      <c r="AA57" s="24" t="s">
        <v>1086</v>
      </c>
      <c r="AB57" s="24"/>
      <c r="AC57" s="24"/>
      <c r="AD57" s="24"/>
      <c r="AE57" s="24" t="s">
        <v>321</v>
      </c>
      <c r="AF57" s="24"/>
      <c r="AG57" s="24"/>
      <c r="AH57" s="24"/>
      <c r="AI57" s="24"/>
      <c r="AJ57" s="24"/>
      <c r="AK57" s="24" t="s">
        <v>322</v>
      </c>
      <c r="AL57" s="24" t="s">
        <v>1087</v>
      </c>
      <c r="AM57" s="24" t="s">
        <v>1088</v>
      </c>
      <c r="AN57" s="24">
        <v>32822</v>
      </c>
      <c r="AO57" s="24" t="s">
        <v>1089</v>
      </c>
      <c r="AP57" s="24">
        <v>20642</v>
      </c>
      <c r="AQ57" s="24" t="s">
        <v>342</v>
      </c>
      <c r="AR57" s="24" t="s">
        <v>291</v>
      </c>
      <c r="AS57" s="24" t="s">
        <v>291</v>
      </c>
      <c r="AT57" s="24"/>
    </row>
    <row r="58" spans="1:46" s="23" customFormat="1" ht="15" customHeight="1">
      <c r="A58" s="11">
        <v>56</v>
      </c>
      <c r="B58" s="12">
        <v>9220</v>
      </c>
      <c r="C58" s="12" t="s">
        <v>271</v>
      </c>
      <c r="D58" s="11" t="s">
        <v>62</v>
      </c>
      <c r="E58" s="13" t="s">
        <v>1090</v>
      </c>
      <c r="F58" s="11" t="s">
        <v>1091</v>
      </c>
      <c r="G58" s="12" t="s">
        <v>1092</v>
      </c>
      <c r="H58" s="24" t="s">
        <v>1093</v>
      </c>
      <c r="I58" s="13" t="s">
        <v>1094</v>
      </c>
      <c r="J58" s="13" t="s">
        <v>1095</v>
      </c>
      <c r="K58" s="24" t="s">
        <v>1096</v>
      </c>
      <c r="L58" s="13" t="s">
        <v>1097</v>
      </c>
      <c r="M58" s="13"/>
      <c r="N58" s="13" t="s">
        <v>1098</v>
      </c>
      <c r="O58" s="13" t="s">
        <v>4</v>
      </c>
      <c r="P58" s="12" t="s">
        <v>1099</v>
      </c>
      <c r="Q58" s="24" t="s">
        <v>1100</v>
      </c>
      <c r="R58" s="12">
        <v>435800</v>
      </c>
      <c r="S58" s="24"/>
      <c r="T58" s="24"/>
      <c r="U58" s="24"/>
      <c r="V58" s="24" t="s">
        <v>283</v>
      </c>
      <c r="W58" s="24"/>
      <c r="X58" s="24"/>
      <c r="Y58" s="24"/>
      <c r="Z58" s="24"/>
      <c r="AA58" s="24"/>
      <c r="AB58" s="13" t="s">
        <v>4</v>
      </c>
      <c r="AC58" s="12" t="s">
        <v>1099</v>
      </c>
      <c r="AD58" s="24" t="s">
        <v>1100</v>
      </c>
      <c r="AE58" s="12">
        <v>435800</v>
      </c>
      <c r="AF58" s="13" t="s">
        <v>284</v>
      </c>
      <c r="AG58" s="13" t="s">
        <v>1101</v>
      </c>
      <c r="AH58" s="13" t="s">
        <v>286</v>
      </c>
      <c r="AI58" s="24" t="s">
        <v>287</v>
      </c>
      <c r="AJ58" s="24">
        <v>243</v>
      </c>
      <c r="AK58" s="24" t="s">
        <v>1102</v>
      </c>
      <c r="AL58" s="24" t="s">
        <v>1103</v>
      </c>
      <c r="AM58" s="24" t="s">
        <v>1104</v>
      </c>
      <c r="AN58" s="24">
        <v>44064</v>
      </c>
      <c r="AO58" s="24" t="s">
        <v>1099</v>
      </c>
      <c r="AP58" s="24">
        <v>435806</v>
      </c>
      <c r="AQ58" s="24" t="s">
        <v>12</v>
      </c>
      <c r="AR58" s="24" t="s">
        <v>12</v>
      </c>
      <c r="AS58" s="24" t="s">
        <v>1105</v>
      </c>
      <c r="AT58" s="24"/>
    </row>
    <row r="59" spans="1:46" s="23" customFormat="1" ht="15" customHeight="1">
      <c r="A59" s="11">
        <v>57</v>
      </c>
      <c r="B59" s="12">
        <v>8902</v>
      </c>
      <c r="C59" s="12" t="s">
        <v>271</v>
      </c>
      <c r="D59" s="11" t="s">
        <v>63</v>
      </c>
      <c r="E59" s="13" t="s">
        <v>1106</v>
      </c>
      <c r="F59" s="11" t="s">
        <v>1107</v>
      </c>
      <c r="G59" s="12" t="s">
        <v>1108</v>
      </c>
      <c r="H59" s="24" t="s">
        <v>1093</v>
      </c>
      <c r="I59" s="13" t="s">
        <v>1109</v>
      </c>
      <c r="J59" s="13" t="s">
        <v>1110</v>
      </c>
      <c r="K59" s="24" t="s">
        <v>1111</v>
      </c>
      <c r="L59" s="29" t="s">
        <v>1112</v>
      </c>
      <c r="M59" s="13" t="s">
        <v>248</v>
      </c>
      <c r="N59" s="13" t="s">
        <v>1113</v>
      </c>
      <c r="O59" s="13" t="s">
        <v>3</v>
      </c>
      <c r="P59" s="12" t="s">
        <v>1114</v>
      </c>
      <c r="Q59" s="24" t="s">
        <v>1115</v>
      </c>
      <c r="R59" s="12">
        <v>32412</v>
      </c>
      <c r="S59" s="13" t="s">
        <v>3</v>
      </c>
      <c r="T59" s="12" t="s">
        <v>1114</v>
      </c>
      <c r="U59" s="24" t="s">
        <v>1115</v>
      </c>
      <c r="V59" s="12">
        <v>32412</v>
      </c>
      <c r="W59" s="13" t="s">
        <v>544</v>
      </c>
      <c r="X59" s="13" t="s">
        <v>1116</v>
      </c>
      <c r="Y59" s="13" t="s">
        <v>546</v>
      </c>
      <c r="Z59" s="24" t="s">
        <v>547</v>
      </c>
      <c r="AA59" s="24" t="s">
        <v>1117</v>
      </c>
      <c r="AB59" s="24"/>
      <c r="AC59" s="24"/>
      <c r="AD59" s="24"/>
      <c r="AE59" s="24" t="s">
        <v>321</v>
      </c>
      <c r="AF59" s="24"/>
      <c r="AG59" s="24"/>
      <c r="AH59" s="24"/>
      <c r="AI59" s="24"/>
      <c r="AJ59" s="24"/>
      <c r="AK59" s="24" t="s">
        <v>322</v>
      </c>
      <c r="AL59" s="24" t="s">
        <v>1118</v>
      </c>
      <c r="AM59" s="24" t="s">
        <v>1119</v>
      </c>
      <c r="AN59" s="24">
        <v>30734</v>
      </c>
      <c r="AO59" s="24" t="s">
        <v>1120</v>
      </c>
      <c r="AP59" s="24">
        <v>37241</v>
      </c>
      <c r="AQ59" s="24" t="s">
        <v>3</v>
      </c>
      <c r="AR59" s="24" t="s">
        <v>291</v>
      </c>
      <c r="AS59" s="24" t="s">
        <v>291</v>
      </c>
      <c r="AT59" s="24"/>
    </row>
    <row r="60" spans="1:46" s="23" customFormat="1" ht="15" customHeight="1">
      <c r="A60" s="11">
        <v>58</v>
      </c>
      <c r="B60" s="12">
        <v>7837</v>
      </c>
      <c r="C60" s="12" t="s">
        <v>271</v>
      </c>
      <c r="D60" s="11" t="s">
        <v>67</v>
      </c>
      <c r="E60" s="13" t="s">
        <v>1121</v>
      </c>
      <c r="F60" s="11" t="s">
        <v>1122</v>
      </c>
      <c r="G60" s="12" t="s">
        <v>1123</v>
      </c>
      <c r="H60" s="24" t="s">
        <v>1093</v>
      </c>
      <c r="I60" s="13" t="s">
        <v>1124</v>
      </c>
      <c r="J60" s="13" t="s">
        <v>1125</v>
      </c>
      <c r="K60" s="24" t="s">
        <v>1126</v>
      </c>
      <c r="L60" s="29" t="s">
        <v>1127</v>
      </c>
      <c r="M60" s="13" t="s">
        <v>248</v>
      </c>
      <c r="N60" s="13" t="s">
        <v>1128</v>
      </c>
      <c r="O60" s="13" t="s">
        <v>3</v>
      </c>
      <c r="P60" s="12" t="s">
        <v>1129</v>
      </c>
      <c r="Q60" s="24" t="s">
        <v>1130</v>
      </c>
      <c r="R60" s="12">
        <v>35496</v>
      </c>
      <c r="S60" s="13" t="s">
        <v>3</v>
      </c>
      <c r="T60" s="12" t="s">
        <v>1129</v>
      </c>
      <c r="U60" s="24" t="s">
        <v>1130</v>
      </c>
      <c r="V60" s="12">
        <v>35496</v>
      </c>
      <c r="W60" s="13" t="s">
        <v>544</v>
      </c>
      <c r="X60" s="13" t="s">
        <v>1131</v>
      </c>
      <c r="Y60" s="13" t="s">
        <v>546</v>
      </c>
      <c r="Z60" s="24" t="s">
        <v>547</v>
      </c>
      <c r="AA60" s="24" t="s">
        <v>1132</v>
      </c>
      <c r="AB60" s="24"/>
      <c r="AC60" s="24"/>
      <c r="AD60" s="24"/>
      <c r="AE60" s="24" t="s">
        <v>321</v>
      </c>
      <c r="AF60" s="24"/>
      <c r="AG60" s="24"/>
      <c r="AH60" s="24"/>
      <c r="AI60" s="24"/>
      <c r="AJ60" s="24"/>
      <c r="AK60" s="24" t="s">
        <v>322</v>
      </c>
      <c r="AL60" s="24" t="s">
        <v>1133</v>
      </c>
      <c r="AM60" s="24" t="s">
        <v>1134</v>
      </c>
      <c r="AN60" s="24">
        <v>30180</v>
      </c>
      <c r="AO60" s="24" t="s">
        <v>1074</v>
      </c>
      <c r="AP60" s="24">
        <v>35497</v>
      </c>
      <c r="AQ60" s="24" t="s">
        <v>3</v>
      </c>
      <c r="AR60" s="24" t="s">
        <v>291</v>
      </c>
      <c r="AS60" s="24" t="s">
        <v>291</v>
      </c>
      <c r="AT60" s="24"/>
    </row>
    <row r="61" spans="1:46" s="23" customFormat="1" ht="15" customHeight="1">
      <c r="A61" s="11">
        <v>59</v>
      </c>
      <c r="B61" s="12">
        <v>9338</v>
      </c>
      <c r="C61" s="12" t="s">
        <v>271</v>
      </c>
      <c r="D61" s="11" t="s">
        <v>64</v>
      </c>
      <c r="E61" s="13" t="s">
        <v>1135</v>
      </c>
      <c r="F61" s="11" t="s">
        <v>1136</v>
      </c>
      <c r="G61" s="12" t="s">
        <v>1137</v>
      </c>
      <c r="H61" s="24" t="s">
        <v>1093</v>
      </c>
      <c r="I61" s="13" t="s">
        <v>1138</v>
      </c>
      <c r="J61" s="13" t="s">
        <v>1139</v>
      </c>
      <c r="K61" s="24" t="s">
        <v>1140</v>
      </c>
      <c r="L61" s="13" t="s">
        <v>1141</v>
      </c>
      <c r="M61" s="13"/>
      <c r="N61" s="13" t="s">
        <v>1142</v>
      </c>
      <c r="O61" s="13" t="s">
        <v>3</v>
      </c>
      <c r="P61" s="12" t="s">
        <v>1143</v>
      </c>
      <c r="Q61" s="24" t="s">
        <v>1144</v>
      </c>
      <c r="R61" s="12">
        <v>32413</v>
      </c>
      <c r="S61" s="13" t="s">
        <v>3</v>
      </c>
      <c r="T61" s="12" t="s">
        <v>1143</v>
      </c>
      <c r="U61" s="24" t="s">
        <v>1144</v>
      </c>
      <c r="V61" s="12">
        <v>32413</v>
      </c>
      <c r="W61" s="13" t="s">
        <v>544</v>
      </c>
      <c r="X61" s="13" t="s">
        <v>1145</v>
      </c>
      <c r="Y61" s="13" t="s">
        <v>546</v>
      </c>
      <c r="Z61" s="24" t="s">
        <v>547</v>
      </c>
      <c r="AA61" s="24" t="s">
        <v>1146</v>
      </c>
      <c r="AB61" s="24"/>
      <c r="AC61" s="24"/>
      <c r="AD61" s="24"/>
      <c r="AE61" s="24" t="s">
        <v>321</v>
      </c>
      <c r="AF61" s="24"/>
      <c r="AG61" s="24"/>
      <c r="AH61" s="24"/>
      <c r="AI61" s="24"/>
      <c r="AJ61" s="24"/>
      <c r="AK61" s="24" t="s">
        <v>322</v>
      </c>
      <c r="AL61" s="24" t="s">
        <v>1147</v>
      </c>
      <c r="AM61" s="24" t="s">
        <v>1148</v>
      </c>
      <c r="AN61" s="24">
        <v>38735</v>
      </c>
      <c r="AO61" s="24" t="s">
        <v>1149</v>
      </c>
      <c r="AP61" s="24">
        <v>37244</v>
      </c>
      <c r="AQ61" s="24" t="s">
        <v>12</v>
      </c>
      <c r="AR61" s="24" t="s">
        <v>12</v>
      </c>
      <c r="AS61" s="24" t="s">
        <v>1150</v>
      </c>
      <c r="AT61" s="24"/>
    </row>
    <row r="62" spans="1:46" s="23" customFormat="1" ht="15" customHeight="1">
      <c r="A62" s="11">
        <v>60</v>
      </c>
      <c r="B62" s="12">
        <v>9381</v>
      </c>
      <c r="C62" s="12" t="s">
        <v>271</v>
      </c>
      <c r="D62" s="11" t="s">
        <v>65</v>
      </c>
      <c r="E62" s="13" t="s">
        <v>1151</v>
      </c>
      <c r="F62" s="11" t="s">
        <v>1152</v>
      </c>
      <c r="G62" s="12" t="s">
        <v>1153</v>
      </c>
      <c r="H62" s="24" t="s">
        <v>1093</v>
      </c>
      <c r="I62" s="13" t="s">
        <v>1154</v>
      </c>
      <c r="J62" s="13" t="s">
        <v>1155</v>
      </c>
      <c r="K62" s="24" t="s">
        <v>1156</v>
      </c>
      <c r="L62" s="13" t="s">
        <v>1157</v>
      </c>
      <c r="M62" s="13"/>
      <c r="N62" s="13" t="s">
        <v>1158</v>
      </c>
      <c r="O62" s="13" t="s">
        <v>4</v>
      </c>
      <c r="P62" s="12" t="s">
        <v>1159</v>
      </c>
      <c r="Q62" s="24" t="s">
        <v>1160</v>
      </c>
      <c r="R62" s="12">
        <v>431320</v>
      </c>
      <c r="S62" s="24"/>
      <c r="T62" s="24"/>
      <c r="U62" s="24"/>
      <c r="V62" s="24" t="s">
        <v>283</v>
      </c>
      <c r="W62" s="24"/>
      <c r="X62" s="24"/>
      <c r="Y62" s="24"/>
      <c r="Z62" s="24"/>
      <c r="AA62" s="24"/>
      <c r="AB62" s="13" t="s">
        <v>4</v>
      </c>
      <c r="AC62" s="12" t="s">
        <v>1159</v>
      </c>
      <c r="AD62" s="24" t="s">
        <v>1160</v>
      </c>
      <c r="AE62" s="12">
        <v>431320</v>
      </c>
      <c r="AF62" s="13" t="s">
        <v>284</v>
      </c>
      <c r="AG62" s="13" t="s">
        <v>1161</v>
      </c>
      <c r="AH62" s="13" t="s">
        <v>286</v>
      </c>
      <c r="AI62" s="24" t="s">
        <v>287</v>
      </c>
      <c r="AJ62" s="24">
        <v>166</v>
      </c>
      <c r="AK62" s="24" t="s">
        <v>1162</v>
      </c>
      <c r="AL62" s="24" t="s">
        <v>1163</v>
      </c>
      <c r="AM62" s="24" t="s">
        <v>1164</v>
      </c>
      <c r="AN62" s="24">
        <v>42276</v>
      </c>
      <c r="AO62" s="24" t="s">
        <v>1159</v>
      </c>
      <c r="AP62" s="24">
        <v>431326</v>
      </c>
      <c r="AQ62" s="24" t="s">
        <v>12</v>
      </c>
      <c r="AR62" s="24" t="s">
        <v>12</v>
      </c>
      <c r="AS62" s="24" t="s">
        <v>1165</v>
      </c>
      <c r="AT62" s="24"/>
    </row>
    <row r="63" spans="1:46" s="23" customFormat="1" ht="15" customHeight="1">
      <c r="A63" s="11">
        <v>61</v>
      </c>
      <c r="B63" s="12">
        <v>9325</v>
      </c>
      <c r="C63" s="12" t="s">
        <v>271</v>
      </c>
      <c r="D63" s="11" t="s">
        <v>66</v>
      </c>
      <c r="E63" s="13" t="s">
        <v>1166</v>
      </c>
      <c r="F63" s="11" t="s">
        <v>1167</v>
      </c>
      <c r="G63" s="12" t="s">
        <v>1168</v>
      </c>
      <c r="H63" s="24" t="s">
        <v>1093</v>
      </c>
      <c r="I63" s="13" t="s">
        <v>1169</v>
      </c>
      <c r="J63" s="13" t="s">
        <v>1170</v>
      </c>
      <c r="K63" s="24" t="s">
        <v>1171</v>
      </c>
      <c r="L63" s="29" t="s">
        <v>1172</v>
      </c>
      <c r="M63" s="13" t="s">
        <v>248</v>
      </c>
      <c r="N63" s="13" t="s">
        <v>1173</v>
      </c>
      <c r="O63" s="13" t="s">
        <v>4</v>
      </c>
      <c r="P63" s="12" t="s">
        <v>1174</v>
      </c>
      <c r="Q63" s="24" t="s">
        <v>1175</v>
      </c>
      <c r="R63" s="12">
        <v>421360</v>
      </c>
      <c r="S63" s="24"/>
      <c r="T63" s="24"/>
      <c r="U63" s="24"/>
      <c r="V63" s="24" t="s">
        <v>283</v>
      </c>
      <c r="W63" s="24"/>
      <c r="X63" s="24"/>
      <c r="Y63" s="24"/>
      <c r="Z63" s="24"/>
      <c r="AA63" s="24"/>
      <c r="AB63" s="13" t="s">
        <v>4</v>
      </c>
      <c r="AC63" s="12" t="s">
        <v>1174</v>
      </c>
      <c r="AD63" s="24" t="s">
        <v>1175</v>
      </c>
      <c r="AE63" s="12">
        <v>421360</v>
      </c>
      <c r="AF63" s="13" t="s">
        <v>284</v>
      </c>
      <c r="AG63" s="13" t="s">
        <v>1176</v>
      </c>
      <c r="AH63" s="13" t="s">
        <v>286</v>
      </c>
      <c r="AI63" s="24" t="s">
        <v>287</v>
      </c>
      <c r="AJ63" s="24">
        <v>147</v>
      </c>
      <c r="AK63" s="24" t="s">
        <v>1177</v>
      </c>
      <c r="AL63" s="24" t="s">
        <v>1178</v>
      </c>
      <c r="AM63" s="24" t="s">
        <v>1179</v>
      </c>
      <c r="AN63" s="24">
        <v>36726</v>
      </c>
      <c r="AO63" s="25" t="s">
        <v>1180</v>
      </c>
      <c r="AP63" s="24">
        <v>421366</v>
      </c>
      <c r="AQ63" s="24" t="s">
        <v>4</v>
      </c>
      <c r="AR63" s="24" t="s">
        <v>291</v>
      </c>
      <c r="AS63" s="24" t="s">
        <v>291</v>
      </c>
      <c r="AT63" s="24"/>
    </row>
    <row r="64" spans="1:46" s="23" customFormat="1" ht="15" customHeight="1">
      <c r="A64" s="11">
        <v>62</v>
      </c>
      <c r="B64" s="12">
        <v>9319</v>
      </c>
      <c r="C64" s="12" t="s">
        <v>271</v>
      </c>
      <c r="D64" s="11" t="s">
        <v>68</v>
      </c>
      <c r="E64" s="13" t="s">
        <v>1181</v>
      </c>
      <c r="F64" s="11" t="s">
        <v>1182</v>
      </c>
      <c r="G64" s="12" t="s">
        <v>1183</v>
      </c>
      <c r="H64" s="24" t="s">
        <v>1093</v>
      </c>
      <c r="I64" s="13" t="s">
        <v>1184</v>
      </c>
      <c r="J64" s="13" t="s">
        <v>1185</v>
      </c>
      <c r="K64" s="24" t="s">
        <v>1186</v>
      </c>
      <c r="L64" s="29" t="s">
        <v>1187</v>
      </c>
      <c r="M64" s="13" t="s">
        <v>248</v>
      </c>
      <c r="N64" s="13" t="s">
        <v>1188</v>
      </c>
      <c r="O64" s="13" t="s">
        <v>4</v>
      </c>
      <c r="P64" s="12" t="s">
        <v>1189</v>
      </c>
      <c r="Q64" s="24" t="s">
        <v>1190</v>
      </c>
      <c r="R64" s="12">
        <v>421140</v>
      </c>
      <c r="S64" s="24"/>
      <c r="T64" s="24"/>
      <c r="U64" s="24"/>
      <c r="V64" s="24" t="s">
        <v>283</v>
      </c>
      <c r="W64" s="24"/>
      <c r="X64" s="24"/>
      <c r="Y64" s="24"/>
      <c r="Z64" s="24"/>
      <c r="AA64" s="24"/>
      <c r="AB64" s="13" t="s">
        <v>4</v>
      </c>
      <c r="AC64" s="12" t="s">
        <v>1189</v>
      </c>
      <c r="AD64" s="24" t="s">
        <v>1190</v>
      </c>
      <c r="AE64" s="12">
        <v>421140</v>
      </c>
      <c r="AF64" s="13" t="s">
        <v>284</v>
      </c>
      <c r="AG64" s="13" t="s">
        <v>1191</v>
      </c>
      <c r="AH64" s="13" t="s">
        <v>286</v>
      </c>
      <c r="AI64" s="24" t="s">
        <v>287</v>
      </c>
      <c r="AJ64" s="24">
        <v>163</v>
      </c>
      <c r="AK64" s="24" t="s">
        <v>1192</v>
      </c>
      <c r="AL64" s="24" t="s">
        <v>1193</v>
      </c>
      <c r="AM64" s="24" t="s">
        <v>1194</v>
      </c>
      <c r="AN64" s="24">
        <v>41509</v>
      </c>
      <c r="AO64" s="24" t="s">
        <v>1189</v>
      </c>
      <c r="AP64" s="24">
        <v>421146</v>
      </c>
      <c r="AQ64" s="24" t="s">
        <v>4</v>
      </c>
      <c r="AR64" s="24" t="s">
        <v>291</v>
      </c>
      <c r="AS64" s="24" t="s">
        <v>291</v>
      </c>
      <c r="AT64" s="24"/>
    </row>
    <row r="65" spans="1:46" s="23" customFormat="1" ht="15" customHeight="1">
      <c r="A65" s="11">
        <v>63</v>
      </c>
      <c r="B65" s="12">
        <v>31668</v>
      </c>
      <c r="C65" s="12" t="s">
        <v>271</v>
      </c>
      <c r="D65" s="11" t="s">
        <v>69</v>
      </c>
      <c r="E65" s="13" t="s">
        <v>1195</v>
      </c>
      <c r="F65" s="11" t="s">
        <v>1196</v>
      </c>
      <c r="G65" s="12" t="s">
        <v>1197</v>
      </c>
      <c r="H65" s="24" t="s">
        <v>1093</v>
      </c>
      <c r="I65" s="13" t="s">
        <v>1198</v>
      </c>
      <c r="J65" s="13" t="s">
        <v>1199</v>
      </c>
      <c r="K65" s="24" t="s">
        <v>1200</v>
      </c>
      <c r="L65" s="13" t="s">
        <v>1201</v>
      </c>
      <c r="M65" s="13"/>
      <c r="N65" s="13" t="s">
        <v>1202</v>
      </c>
      <c r="O65" s="13" t="s">
        <v>4</v>
      </c>
      <c r="P65" s="12" t="s">
        <v>1203</v>
      </c>
      <c r="Q65" s="24" t="s">
        <v>1204</v>
      </c>
      <c r="R65" s="12">
        <v>411800</v>
      </c>
      <c r="S65" s="24"/>
      <c r="T65" s="24"/>
      <c r="U65" s="24"/>
      <c r="V65" s="24" t="s">
        <v>283</v>
      </c>
      <c r="W65" s="24"/>
      <c r="X65" s="24"/>
      <c r="Y65" s="24"/>
      <c r="Z65" s="24"/>
      <c r="AA65" s="24"/>
      <c r="AB65" s="13" t="s">
        <v>4</v>
      </c>
      <c r="AC65" s="12" t="s">
        <v>1203</v>
      </c>
      <c r="AD65" s="24" t="s">
        <v>1204</v>
      </c>
      <c r="AE65" s="12">
        <v>411800</v>
      </c>
      <c r="AF65" s="13" t="s">
        <v>284</v>
      </c>
      <c r="AG65" s="13" t="s">
        <v>1205</v>
      </c>
      <c r="AH65" s="13" t="s">
        <v>286</v>
      </c>
      <c r="AI65" s="24" t="s">
        <v>287</v>
      </c>
      <c r="AJ65" s="24">
        <v>125</v>
      </c>
      <c r="AK65" s="24" t="s">
        <v>1206</v>
      </c>
      <c r="AL65" s="24" t="s">
        <v>1207</v>
      </c>
      <c r="AM65" s="24" t="s">
        <v>1208</v>
      </c>
      <c r="AN65" s="24">
        <v>39420</v>
      </c>
      <c r="AO65" s="24" t="s">
        <v>1203</v>
      </c>
      <c r="AP65" s="24">
        <v>411806</v>
      </c>
      <c r="AQ65" s="24" t="s">
        <v>12</v>
      </c>
      <c r="AR65" s="24" t="s">
        <v>12</v>
      </c>
      <c r="AS65" s="24" t="s">
        <v>1209</v>
      </c>
      <c r="AT65" s="24"/>
    </row>
    <row r="66" spans="1:46" s="23" customFormat="1" ht="15" customHeight="1">
      <c r="A66" s="11">
        <v>64</v>
      </c>
      <c r="B66" s="12">
        <v>72192</v>
      </c>
      <c r="C66" s="12" t="s">
        <v>271</v>
      </c>
      <c r="D66" s="11" t="s">
        <v>208</v>
      </c>
      <c r="E66" s="13" t="s">
        <v>1210</v>
      </c>
      <c r="F66" s="11" t="s">
        <v>1211</v>
      </c>
      <c r="G66" s="12" t="s">
        <v>1212</v>
      </c>
      <c r="H66" s="24" t="s">
        <v>1093</v>
      </c>
      <c r="I66" s="13" t="s">
        <v>1213</v>
      </c>
      <c r="J66" s="13" t="s">
        <v>1214</v>
      </c>
      <c r="K66" s="24" t="s">
        <v>1215</v>
      </c>
      <c r="L66" s="29" t="s">
        <v>1216</v>
      </c>
      <c r="M66" s="13" t="s">
        <v>248</v>
      </c>
      <c r="N66" s="13" t="s">
        <v>1217</v>
      </c>
      <c r="O66" s="13" t="s">
        <v>4</v>
      </c>
      <c r="P66" s="12" t="s">
        <v>1218</v>
      </c>
      <c r="Q66" s="24" t="s">
        <v>1219</v>
      </c>
      <c r="R66" s="12">
        <v>476410</v>
      </c>
      <c r="S66" s="24"/>
      <c r="T66" s="24"/>
      <c r="U66" s="24"/>
      <c r="V66" s="24" t="s">
        <v>283</v>
      </c>
      <c r="W66" s="24"/>
      <c r="X66" s="24"/>
      <c r="Y66" s="24"/>
      <c r="Z66" s="24"/>
      <c r="AA66" s="24"/>
      <c r="AB66" s="13" t="s">
        <v>4</v>
      </c>
      <c r="AC66" s="12" t="s">
        <v>1218</v>
      </c>
      <c r="AD66" s="24" t="s">
        <v>1219</v>
      </c>
      <c r="AE66" s="12">
        <v>476410</v>
      </c>
      <c r="AF66" s="13" t="s">
        <v>284</v>
      </c>
      <c r="AG66" s="13" t="s">
        <v>1220</v>
      </c>
      <c r="AH66" s="13" t="s">
        <v>286</v>
      </c>
      <c r="AI66" s="24" t="s">
        <v>287</v>
      </c>
      <c r="AJ66" s="24">
        <v>319</v>
      </c>
      <c r="AK66" s="24" t="s">
        <v>1221</v>
      </c>
      <c r="AL66" s="24" t="s">
        <v>1222</v>
      </c>
      <c r="AM66" s="24" t="s">
        <v>1223</v>
      </c>
      <c r="AN66" s="24">
        <v>47034</v>
      </c>
      <c r="AO66" s="24" t="s">
        <v>1218</v>
      </c>
      <c r="AP66" s="24">
        <v>476416</v>
      </c>
      <c r="AQ66" s="24" t="s">
        <v>12</v>
      </c>
      <c r="AR66" s="24" t="s">
        <v>12</v>
      </c>
      <c r="AS66" s="24" t="s">
        <v>1224</v>
      </c>
      <c r="AT66" s="24"/>
    </row>
    <row r="67" spans="1:46" s="23" customFormat="1" ht="15" customHeight="1">
      <c r="A67" s="11">
        <v>65</v>
      </c>
      <c r="B67" s="12">
        <v>1629</v>
      </c>
      <c r="C67" s="12" t="s">
        <v>271</v>
      </c>
      <c r="D67" s="11" t="s">
        <v>70</v>
      </c>
      <c r="E67" s="13" t="s">
        <v>1225</v>
      </c>
      <c r="F67" s="11" t="s">
        <v>1226</v>
      </c>
      <c r="G67" s="12" t="s">
        <v>1227</v>
      </c>
      <c r="H67" s="24" t="s">
        <v>1093</v>
      </c>
      <c r="I67" s="13" t="s">
        <v>1228</v>
      </c>
      <c r="J67" s="13" t="s">
        <v>1229</v>
      </c>
      <c r="K67" s="24" t="s">
        <v>1230</v>
      </c>
      <c r="L67" s="29" t="s">
        <v>1231</v>
      </c>
      <c r="M67" s="13" t="s">
        <v>248</v>
      </c>
      <c r="N67" s="13" t="s">
        <v>1232</v>
      </c>
      <c r="O67" s="13" t="s">
        <v>4</v>
      </c>
      <c r="P67" s="12" t="s">
        <v>1233</v>
      </c>
      <c r="Q67" s="24" t="s">
        <v>1234</v>
      </c>
      <c r="R67" s="12">
        <v>474310</v>
      </c>
      <c r="S67" s="24"/>
      <c r="T67" s="24"/>
      <c r="U67" s="24"/>
      <c r="V67" s="24" t="s">
        <v>283</v>
      </c>
      <c r="W67" s="24"/>
      <c r="X67" s="24"/>
      <c r="Y67" s="24"/>
      <c r="Z67" s="24"/>
      <c r="AA67" s="24"/>
      <c r="AB67" s="13" t="s">
        <v>4</v>
      </c>
      <c r="AC67" s="12" t="s">
        <v>1233</v>
      </c>
      <c r="AD67" s="24" t="s">
        <v>1234</v>
      </c>
      <c r="AE67" s="12">
        <v>474310</v>
      </c>
      <c r="AF67" s="13" t="s">
        <v>284</v>
      </c>
      <c r="AG67" s="13" t="s">
        <v>1235</v>
      </c>
      <c r="AH67" s="13" t="s">
        <v>286</v>
      </c>
      <c r="AI67" s="24" t="s">
        <v>287</v>
      </c>
      <c r="AJ67" s="24">
        <v>207</v>
      </c>
      <c r="AK67" s="24" t="s">
        <v>1236</v>
      </c>
      <c r="AL67" s="24" t="s">
        <v>1237</v>
      </c>
      <c r="AM67" s="24" t="s">
        <v>1238</v>
      </c>
      <c r="AN67" s="24">
        <v>31317</v>
      </c>
      <c r="AO67" s="24" t="s">
        <v>1233</v>
      </c>
      <c r="AP67" s="24">
        <v>474316</v>
      </c>
      <c r="AQ67" s="24" t="s">
        <v>4</v>
      </c>
      <c r="AR67" s="24" t="s">
        <v>291</v>
      </c>
      <c r="AS67" s="24" t="s">
        <v>291</v>
      </c>
      <c r="AT67" s="24"/>
    </row>
    <row r="68" spans="1:46" s="23" customFormat="1" ht="15" customHeight="1">
      <c r="A68" s="11">
        <v>66</v>
      </c>
      <c r="B68" s="12">
        <v>1603</v>
      </c>
      <c r="C68" s="12" t="s">
        <v>271</v>
      </c>
      <c r="D68" s="11" t="s">
        <v>71</v>
      </c>
      <c r="E68" s="13" t="s">
        <v>1239</v>
      </c>
      <c r="F68" s="11" t="s">
        <v>1240</v>
      </c>
      <c r="G68" s="12" t="s">
        <v>1241</v>
      </c>
      <c r="H68" s="24" t="s">
        <v>1093</v>
      </c>
      <c r="I68" s="13" t="s">
        <v>1242</v>
      </c>
      <c r="J68" s="13" t="s">
        <v>1243</v>
      </c>
      <c r="K68" s="24" t="s">
        <v>1244</v>
      </c>
      <c r="L68" s="29" t="s">
        <v>1245</v>
      </c>
      <c r="M68" s="13" t="s">
        <v>248</v>
      </c>
      <c r="N68" s="13" t="s">
        <v>1246</v>
      </c>
      <c r="O68" s="13" t="s">
        <v>4</v>
      </c>
      <c r="P68" s="12" t="s">
        <v>1247</v>
      </c>
      <c r="Q68" s="24" t="s">
        <v>1248</v>
      </c>
      <c r="R68" s="12">
        <v>473320</v>
      </c>
      <c r="S68" s="24"/>
      <c r="T68" s="24"/>
      <c r="U68" s="24"/>
      <c r="V68" s="24" t="s">
        <v>283</v>
      </c>
      <c r="W68" s="24"/>
      <c r="X68" s="24"/>
      <c r="Y68" s="24"/>
      <c r="Z68" s="24"/>
      <c r="AA68" s="24"/>
      <c r="AB68" s="13" t="s">
        <v>4</v>
      </c>
      <c r="AC68" s="12" t="s">
        <v>1247</v>
      </c>
      <c r="AD68" s="24" t="s">
        <v>1248</v>
      </c>
      <c r="AE68" s="12">
        <v>473320</v>
      </c>
      <c r="AF68" s="13" t="s">
        <v>284</v>
      </c>
      <c r="AG68" s="13" t="s">
        <v>1249</v>
      </c>
      <c r="AH68" s="13" t="s">
        <v>286</v>
      </c>
      <c r="AI68" s="24" t="s">
        <v>287</v>
      </c>
      <c r="AJ68" s="24">
        <v>203</v>
      </c>
      <c r="AK68" s="24" t="s">
        <v>1250</v>
      </c>
      <c r="AL68" s="24" t="s">
        <v>1251</v>
      </c>
      <c r="AM68" s="24" t="s">
        <v>1252</v>
      </c>
      <c r="AN68" s="24">
        <v>11521</v>
      </c>
      <c r="AO68" s="24" t="s">
        <v>1247</v>
      </c>
      <c r="AP68" s="24">
        <v>473326</v>
      </c>
      <c r="AQ68" s="24" t="s">
        <v>4</v>
      </c>
      <c r="AR68" s="24" t="s">
        <v>291</v>
      </c>
      <c r="AS68" s="24" t="s">
        <v>291</v>
      </c>
      <c r="AT68" s="24"/>
    </row>
    <row r="69" spans="1:46" s="23" customFormat="1" ht="15" customHeight="1">
      <c r="A69" s="11">
        <v>67</v>
      </c>
      <c r="B69" s="14">
        <v>15616</v>
      </c>
      <c r="C69" s="12" t="s">
        <v>271</v>
      </c>
      <c r="D69" s="11" t="s">
        <v>72</v>
      </c>
      <c r="E69" s="13" t="s">
        <v>1253</v>
      </c>
      <c r="F69" s="11" t="s">
        <v>1254</v>
      </c>
      <c r="G69" s="12" t="s">
        <v>1255</v>
      </c>
      <c r="H69" s="24" t="s">
        <v>1093</v>
      </c>
      <c r="I69" s="13" t="s">
        <v>1256</v>
      </c>
      <c r="J69" s="13" t="s">
        <v>1257</v>
      </c>
      <c r="K69" s="24" t="s">
        <v>1258</v>
      </c>
      <c r="L69" s="13" t="s">
        <v>1259</v>
      </c>
      <c r="M69" s="13"/>
      <c r="N69" s="13" t="s">
        <v>1260</v>
      </c>
      <c r="O69" s="13" t="s">
        <v>3</v>
      </c>
      <c r="P69" s="12" t="s">
        <v>1261</v>
      </c>
      <c r="Q69" s="24" t="s">
        <v>1262</v>
      </c>
      <c r="R69" s="12">
        <v>38441</v>
      </c>
      <c r="S69" s="13" t="s">
        <v>3</v>
      </c>
      <c r="T69" s="12" t="s">
        <v>1261</v>
      </c>
      <c r="U69" s="24" t="s">
        <v>1262</v>
      </c>
      <c r="V69" s="12">
        <v>38441</v>
      </c>
      <c r="W69" s="13" t="s">
        <v>544</v>
      </c>
      <c r="X69" s="13" t="s">
        <v>1263</v>
      </c>
      <c r="Y69" s="13" t="s">
        <v>546</v>
      </c>
      <c r="Z69" s="24" t="s">
        <v>547</v>
      </c>
      <c r="AA69" s="24" t="s">
        <v>1264</v>
      </c>
      <c r="AB69" s="24"/>
      <c r="AC69" s="24"/>
      <c r="AD69" s="24"/>
      <c r="AE69" s="24" t="s">
        <v>321</v>
      </c>
      <c r="AF69" s="24"/>
      <c r="AG69" s="24"/>
      <c r="AH69" s="24"/>
      <c r="AI69" s="24"/>
      <c r="AJ69" s="24"/>
      <c r="AK69" s="24" t="s">
        <v>322</v>
      </c>
      <c r="AL69" s="24" t="s">
        <v>1265</v>
      </c>
      <c r="AM69" s="24" t="s">
        <v>1266</v>
      </c>
      <c r="AN69" s="24">
        <v>41331</v>
      </c>
      <c r="AO69" s="24" t="s">
        <v>1267</v>
      </c>
      <c r="AP69" s="24">
        <v>38437</v>
      </c>
      <c r="AQ69" s="24" t="s">
        <v>12</v>
      </c>
      <c r="AR69" s="24" t="s">
        <v>12</v>
      </c>
      <c r="AS69" s="24" t="s">
        <v>1268</v>
      </c>
      <c r="AT69" s="24"/>
    </row>
    <row r="70" spans="1:46" s="23" customFormat="1" ht="15" customHeight="1">
      <c r="A70" s="11">
        <v>68</v>
      </c>
      <c r="B70" s="12">
        <v>31790</v>
      </c>
      <c r="C70" s="12" t="s">
        <v>271</v>
      </c>
      <c r="D70" s="11" t="s">
        <v>211</v>
      </c>
      <c r="E70" s="13" t="s">
        <v>1269</v>
      </c>
      <c r="F70" s="11" t="s">
        <v>1270</v>
      </c>
      <c r="G70" s="12" t="s">
        <v>1271</v>
      </c>
      <c r="H70" s="24" t="s">
        <v>1093</v>
      </c>
      <c r="I70" s="13" t="s">
        <v>1272</v>
      </c>
      <c r="J70" s="13" t="s">
        <v>1273</v>
      </c>
      <c r="K70" s="24" t="s">
        <v>1274</v>
      </c>
      <c r="L70" s="13" t="s">
        <v>1275</v>
      </c>
      <c r="M70" s="13"/>
      <c r="N70" s="13" t="s">
        <v>1276</v>
      </c>
      <c r="O70" s="13" t="s">
        <v>3</v>
      </c>
      <c r="P70" s="12" t="s">
        <v>1277</v>
      </c>
      <c r="Q70" s="24" t="s">
        <v>1278</v>
      </c>
      <c r="R70" s="12">
        <v>38433</v>
      </c>
      <c r="S70" s="13" t="s">
        <v>3</v>
      </c>
      <c r="T70" s="12" t="s">
        <v>1277</v>
      </c>
      <c r="U70" s="24" t="s">
        <v>1278</v>
      </c>
      <c r="V70" s="12">
        <v>38433</v>
      </c>
      <c r="W70" s="13" t="s">
        <v>544</v>
      </c>
      <c r="X70" s="13" t="s">
        <v>1279</v>
      </c>
      <c r="Y70" s="13" t="s">
        <v>546</v>
      </c>
      <c r="Z70" s="24" t="s">
        <v>547</v>
      </c>
      <c r="AA70" s="24" t="s">
        <v>1280</v>
      </c>
      <c r="AB70" s="24"/>
      <c r="AC70" s="24"/>
      <c r="AD70" s="24"/>
      <c r="AE70" s="24" t="s">
        <v>321</v>
      </c>
      <c r="AF70" s="24"/>
      <c r="AG70" s="24"/>
      <c r="AH70" s="24"/>
      <c r="AI70" s="24"/>
      <c r="AJ70" s="24"/>
      <c r="AK70" s="24" t="s">
        <v>322</v>
      </c>
      <c r="AL70" s="24" t="s">
        <v>1281</v>
      </c>
      <c r="AM70" s="24" t="s">
        <v>1282</v>
      </c>
      <c r="AN70" s="24">
        <v>47145</v>
      </c>
      <c r="AO70" s="24" t="s">
        <v>1283</v>
      </c>
      <c r="AP70" s="24">
        <v>38434</v>
      </c>
      <c r="AQ70" s="24" t="s">
        <v>12</v>
      </c>
      <c r="AR70" s="24" t="s">
        <v>12</v>
      </c>
      <c r="AS70" s="24" t="s">
        <v>1284</v>
      </c>
      <c r="AT70" s="24"/>
    </row>
    <row r="71" spans="1:46" s="23" customFormat="1" ht="15" customHeight="1">
      <c r="A71" s="11">
        <v>69</v>
      </c>
      <c r="B71" s="12">
        <v>8677</v>
      </c>
      <c r="C71" s="12" t="s">
        <v>271</v>
      </c>
      <c r="D71" s="11" t="s">
        <v>1285</v>
      </c>
      <c r="E71" s="13" t="s">
        <v>1286</v>
      </c>
      <c r="F71" s="11" t="s">
        <v>1287</v>
      </c>
      <c r="G71" s="12" t="s">
        <v>1288</v>
      </c>
      <c r="H71" s="24" t="s">
        <v>1093</v>
      </c>
      <c r="I71" s="13" t="s">
        <v>1289</v>
      </c>
      <c r="J71" s="13" t="s">
        <v>1290</v>
      </c>
      <c r="K71" s="24" t="s">
        <v>1291</v>
      </c>
      <c r="L71" s="13" t="s">
        <v>1292</v>
      </c>
      <c r="M71" s="13"/>
      <c r="N71" s="13" t="s">
        <v>1293</v>
      </c>
      <c r="O71" s="13" t="s">
        <v>3</v>
      </c>
      <c r="P71" s="12" t="s">
        <v>1294</v>
      </c>
      <c r="Q71" s="24" t="s">
        <v>1295</v>
      </c>
      <c r="R71" s="12">
        <v>31616</v>
      </c>
      <c r="S71" s="13" t="s">
        <v>3</v>
      </c>
      <c r="T71" s="12" t="s">
        <v>1294</v>
      </c>
      <c r="U71" s="24" t="s">
        <v>1295</v>
      </c>
      <c r="V71" s="12">
        <v>31616</v>
      </c>
      <c r="W71" s="13" t="s">
        <v>544</v>
      </c>
      <c r="X71" s="13" t="s">
        <v>1296</v>
      </c>
      <c r="Y71" s="13" t="s">
        <v>546</v>
      </c>
      <c r="Z71" s="24" t="s">
        <v>547</v>
      </c>
      <c r="AA71" s="24" t="s">
        <v>1297</v>
      </c>
      <c r="AB71" s="24"/>
      <c r="AC71" s="24"/>
      <c r="AD71" s="24"/>
      <c r="AE71" s="24" t="s">
        <v>321</v>
      </c>
      <c r="AF71" s="24"/>
      <c r="AG71" s="24"/>
      <c r="AH71" s="24"/>
      <c r="AI71" s="24"/>
      <c r="AJ71" s="24"/>
      <c r="AK71" s="24" t="s">
        <v>322</v>
      </c>
      <c r="AL71" s="24" t="s">
        <v>1298</v>
      </c>
      <c r="AM71" s="24" t="s">
        <v>1299</v>
      </c>
      <c r="AN71" s="24">
        <v>44298</v>
      </c>
      <c r="AO71" s="24" t="s">
        <v>1300</v>
      </c>
      <c r="AP71" s="24">
        <v>38610</v>
      </c>
      <c r="AQ71" s="24" t="s">
        <v>3</v>
      </c>
      <c r="AR71" s="24" t="s">
        <v>291</v>
      </c>
      <c r="AS71" s="24" t="s">
        <v>291</v>
      </c>
      <c r="AT71" s="24"/>
    </row>
    <row r="72" spans="1:46" s="23" customFormat="1" ht="15" customHeight="1">
      <c r="A72" s="11">
        <v>70</v>
      </c>
      <c r="B72" s="12">
        <v>8929</v>
      </c>
      <c r="C72" s="12" t="s">
        <v>271</v>
      </c>
      <c r="D72" s="11" t="s">
        <v>73</v>
      </c>
      <c r="E72" s="13" t="s">
        <v>1301</v>
      </c>
      <c r="F72" s="11" t="s">
        <v>1302</v>
      </c>
      <c r="G72" s="12" t="s">
        <v>1303</v>
      </c>
      <c r="H72" s="24" t="s">
        <v>1093</v>
      </c>
      <c r="I72" s="13" t="s">
        <v>1304</v>
      </c>
      <c r="J72" s="13" t="s">
        <v>1305</v>
      </c>
      <c r="K72" s="24" t="s">
        <v>1306</v>
      </c>
      <c r="L72" s="29" t="s">
        <v>1307</v>
      </c>
      <c r="M72" s="13" t="s">
        <v>248</v>
      </c>
      <c r="N72" s="13" t="s">
        <v>1308</v>
      </c>
      <c r="O72" s="13" t="s">
        <v>4</v>
      </c>
      <c r="P72" s="12" t="s">
        <v>1309</v>
      </c>
      <c r="Q72" s="24" t="s">
        <v>1248</v>
      </c>
      <c r="R72" s="12">
        <v>477790</v>
      </c>
      <c r="S72" s="24"/>
      <c r="T72" s="24"/>
      <c r="U72" s="24"/>
      <c r="V72" s="24" t="s">
        <v>283</v>
      </c>
      <c r="W72" s="24"/>
      <c r="X72" s="24"/>
      <c r="Y72" s="24"/>
      <c r="Z72" s="24"/>
      <c r="AA72" s="24"/>
      <c r="AB72" s="13" t="s">
        <v>4</v>
      </c>
      <c r="AC72" s="12" t="s">
        <v>1309</v>
      </c>
      <c r="AD72" s="24" t="s">
        <v>1248</v>
      </c>
      <c r="AE72" s="12">
        <v>477790</v>
      </c>
      <c r="AF72" s="13" t="s">
        <v>284</v>
      </c>
      <c r="AG72" s="13" t="s">
        <v>1310</v>
      </c>
      <c r="AH72" s="13" t="s">
        <v>286</v>
      </c>
      <c r="AI72" s="24" t="s">
        <v>287</v>
      </c>
      <c r="AJ72" s="24">
        <v>53</v>
      </c>
      <c r="AK72" s="24" t="s">
        <v>1311</v>
      </c>
      <c r="AL72" s="24" t="s">
        <v>1312</v>
      </c>
      <c r="AM72" s="24" t="s">
        <v>1313</v>
      </c>
      <c r="AN72" s="24">
        <v>38015</v>
      </c>
      <c r="AO72" s="24" t="s">
        <v>1309</v>
      </c>
      <c r="AP72" s="24">
        <v>477796</v>
      </c>
      <c r="AQ72" s="24" t="s">
        <v>4</v>
      </c>
      <c r="AR72" s="24" t="s">
        <v>291</v>
      </c>
      <c r="AS72" s="24" t="s">
        <v>291</v>
      </c>
      <c r="AT72" s="24"/>
    </row>
    <row r="73" spans="1:46" s="23" customFormat="1" ht="15" customHeight="1">
      <c r="A73" s="11">
        <v>71</v>
      </c>
      <c r="B73" s="12">
        <v>1641</v>
      </c>
      <c r="C73" s="12" t="s">
        <v>271</v>
      </c>
      <c r="D73" s="11" t="s">
        <v>74</v>
      </c>
      <c r="E73" s="13" t="s">
        <v>1314</v>
      </c>
      <c r="F73" s="11" t="s">
        <v>1315</v>
      </c>
      <c r="G73" s="12" t="s">
        <v>1316</v>
      </c>
      <c r="H73" s="24" t="s">
        <v>1093</v>
      </c>
      <c r="I73" s="13" t="s">
        <v>1317</v>
      </c>
      <c r="J73" s="13" t="s">
        <v>1318</v>
      </c>
      <c r="K73" s="24" t="s">
        <v>1319</v>
      </c>
      <c r="L73" s="29" t="s">
        <v>1320</v>
      </c>
      <c r="M73" s="13" t="s">
        <v>248</v>
      </c>
      <c r="N73" s="13" t="s">
        <v>1321</v>
      </c>
      <c r="O73" s="13" t="s">
        <v>4</v>
      </c>
      <c r="P73" s="12" t="s">
        <v>1322</v>
      </c>
      <c r="Q73" s="24" t="s">
        <v>1248</v>
      </c>
      <c r="R73" s="12">
        <v>473390</v>
      </c>
      <c r="S73" s="24"/>
      <c r="T73" s="24"/>
      <c r="U73" s="24"/>
      <c r="V73" s="24" t="s">
        <v>283</v>
      </c>
      <c r="W73" s="24"/>
      <c r="X73" s="24"/>
      <c r="Y73" s="24"/>
      <c r="Z73" s="24"/>
      <c r="AA73" s="24"/>
      <c r="AB73" s="13" t="s">
        <v>4</v>
      </c>
      <c r="AC73" s="12" t="s">
        <v>1322</v>
      </c>
      <c r="AD73" s="24" t="s">
        <v>1248</v>
      </c>
      <c r="AE73" s="12">
        <v>473390</v>
      </c>
      <c r="AF73" s="13" t="s">
        <v>284</v>
      </c>
      <c r="AG73" s="13" t="s">
        <v>1323</v>
      </c>
      <c r="AH73" s="13" t="s">
        <v>286</v>
      </c>
      <c r="AI73" s="24" t="s">
        <v>287</v>
      </c>
      <c r="AJ73" s="24">
        <v>212</v>
      </c>
      <c r="AK73" s="24" t="s">
        <v>1324</v>
      </c>
      <c r="AL73" s="24" t="s">
        <v>1325</v>
      </c>
      <c r="AM73" s="24" t="s">
        <v>1326</v>
      </c>
      <c r="AN73" s="24">
        <v>33937</v>
      </c>
      <c r="AO73" s="24" t="s">
        <v>1322</v>
      </c>
      <c r="AP73" s="24">
        <v>473396</v>
      </c>
      <c r="AQ73" s="24" t="s">
        <v>4</v>
      </c>
      <c r="AR73" s="24" t="s">
        <v>291</v>
      </c>
      <c r="AS73" s="24" t="s">
        <v>291</v>
      </c>
      <c r="AT73" s="24"/>
    </row>
    <row r="74" spans="1:46" s="23" customFormat="1" ht="15" customHeight="1">
      <c r="A74" s="11">
        <v>72</v>
      </c>
      <c r="B74" s="12">
        <v>32765</v>
      </c>
      <c r="C74" s="12" t="s">
        <v>271</v>
      </c>
      <c r="D74" s="11" t="s">
        <v>1327</v>
      </c>
      <c r="E74" s="13" t="s">
        <v>1328</v>
      </c>
      <c r="F74" s="11" t="s">
        <v>1329</v>
      </c>
      <c r="G74" s="12" t="s">
        <v>1330</v>
      </c>
      <c r="H74" s="24" t="s">
        <v>1093</v>
      </c>
      <c r="I74" s="13" t="s">
        <v>1331</v>
      </c>
      <c r="J74" s="13" t="s">
        <v>1332</v>
      </c>
      <c r="K74" s="24" t="s">
        <v>1333</v>
      </c>
      <c r="L74" s="13"/>
      <c r="M74" s="13"/>
      <c r="N74" s="13" t="s">
        <v>1334</v>
      </c>
      <c r="O74" s="13" t="s">
        <v>4</v>
      </c>
      <c r="P74" s="12"/>
      <c r="Q74" s="24" t="s">
        <v>1248</v>
      </c>
      <c r="R74" s="12"/>
      <c r="S74" s="24"/>
      <c r="T74" s="24"/>
      <c r="U74" s="24"/>
      <c r="V74" s="24" t="s">
        <v>283</v>
      </c>
      <c r="W74" s="24"/>
      <c r="X74" s="24"/>
      <c r="Y74" s="24"/>
      <c r="Z74" s="24"/>
      <c r="AA74" s="24"/>
      <c r="AB74" s="13" t="s">
        <v>4</v>
      </c>
      <c r="AC74" s="12"/>
      <c r="AD74" s="24" t="s">
        <v>1248</v>
      </c>
      <c r="AE74" s="12"/>
      <c r="AF74" s="13" t="s">
        <v>284</v>
      </c>
      <c r="AG74" s="13" t="s">
        <v>1335</v>
      </c>
      <c r="AH74" s="13" t="s">
        <v>286</v>
      </c>
      <c r="AI74" s="24" t="s">
        <v>287</v>
      </c>
      <c r="AJ74" s="24"/>
      <c r="AK74" s="24"/>
      <c r="AL74" s="24" t="s">
        <v>806</v>
      </c>
      <c r="AM74" s="24" t="s">
        <v>1336</v>
      </c>
      <c r="AN74" s="24">
        <v>46072</v>
      </c>
      <c r="AO74" s="24" t="s">
        <v>1337</v>
      </c>
      <c r="AP74" s="24">
        <v>473406</v>
      </c>
      <c r="AQ74" s="24" t="s">
        <v>4</v>
      </c>
      <c r="AR74" s="24" t="s">
        <v>291</v>
      </c>
      <c r="AS74" s="24" t="s">
        <v>291</v>
      </c>
      <c r="AT74" s="24"/>
    </row>
    <row r="75" spans="1:46" s="23" customFormat="1" ht="15" customHeight="1">
      <c r="A75" s="11">
        <v>73</v>
      </c>
      <c r="B75" s="12">
        <v>8966</v>
      </c>
      <c r="C75" s="12" t="s">
        <v>271</v>
      </c>
      <c r="D75" s="11" t="s">
        <v>75</v>
      </c>
      <c r="E75" s="13" t="s">
        <v>1338</v>
      </c>
      <c r="F75" s="11" t="s">
        <v>1339</v>
      </c>
      <c r="G75" s="12" t="s">
        <v>1340</v>
      </c>
      <c r="H75" s="24" t="s">
        <v>1093</v>
      </c>
      <c r="I75" s="13" t="s">
        <v>1341</v>
      </c>
      <c r="J75" s="13" t="s">
        <v>1342</v>
      </c>
      <c r="K75" s="24" t="s">
        <v>1343</v>
      </c>
      <c r="L75" s="13" t="s">
        <v>1344</v>
      </c>
      <c r="M75" s="13"/>
      <c r="N75" s="13" t="s">
        <v>1345</v>
      </c>
      <c r="O75" s="13" t="s">
        <v>4</v>
      </c>
      <c r="P75" s="12" t="s">
        <v>1346</v>
      </c>
      <c r="Q75" s="24" t="s">
        <v>1347</v>
      </c>
      <c r="R75" s="12">
        <v>479060</v>
      </c>
      <c r="S75" s="24"/>
      <c r="T75" s="24"/>
      <c r="U75" s="24"/>
      <c r="V75" s="24" t="s">
        <v>283</v>
      </c>
      <c r="W75" s="24"/>
      <c r="X75" s="24"/>
      <c r="Y75" s="24"/>
      <c r="Z75" s="24"/>
      <c r="AA75" s="24"/>
      <c r="AB75" s="13" t="s">
        <v>4</v>
      </c>
      <c r="AC75" s="12" t="s">
        <v>1346</v>
      </c>
      <c r="AD75" s="24" t="s">
        <v>1347</v>
      </c>
      <c r="AE75" s="12">
        <v>479060</v>
      </c>
      <c r="AF75" s="13" t="s">
        <v>284</v>
      </c>
      <c r="AG75" s="13" t="s">
        <v>1348</v>
      </c>
      <c r="AH75" s="13" t="s">
        <v>286</v>
      </c>
      <c r="AI75" s="24" t="s">
        <v>287</v>
      </c>
      <c r="AJ75" s="24">
        <v>55</v>
      </c>
      <c r="AK75" s="24" t="s">
        <v>1349</v>
      </c>
      <c r="AL75" s="24" t="s">
        <v>1350</v>
      </c>
      <c r="AM75" s="24" t="s">
        <v>1351</v>
      </c>
      <c r="AN75" s="24">
        <v>37959</v>
      </c>
      <c r="AO75" s="24" t="s">
        <v>1346</v>
      </c>
      <c r="AP75" s="24">
        <v>479066</v>
      </c>
      <c r="AQ75" s="24" t="s">
        <v>12</v>
      </c>
      <c r="AR75" s="24" t="s">
        <v>12</v>
      </c>
      <c r="AS75" s="24" t="s">
        <v>1352</v>
      </c>
      <c r="AT75" s="24"/>
    </row>
    <row r="76" spans="1:46" s="23" customFormat="1" ht="15" customHeight="1">
      <c r="A76" s="11">
        <v>74</v>
      </c>
      <c r="B76" s="12">
        <v>9217</v>
      </c>
      <c r="C76" s="12" t="s">
        <v>271</v>
      </c>
      <c r="D76" s="11" t="s">
        <v>76</v>
      </c>
      <c r="E76" s="13" t="s">
        <v>1353</v>
      </c>
      <c r="F76" s="11" t="s">
        <v>1354</v>
      </c>
      <c r="G76" s="12" t="s">
        <v>1355</v>
      </c>
      <c r="H76" s="24" t="s">
        <v>1093</v>
      </c>
      <c r="I76" s="13" t="s">
        <v>1356</v>
      </c>
      <c r="J76" s="13" t="s">
        <v>1357</v>
      </c>
      <c r="K76" s="24" t="s">
        <v>1358</v>
      </c>
      <c r="L76" s="29" t="s">
        <v>1359</v>
      </c>
      <c r="M76" s="13" t="s">
        <v>248</v>
      </c>
      <c r="N76" s="13" t="s">
        <v>1360</v>
      </c>
      <c r="O76" s="13" t="s">
        <v>3</v>
      </c>
      <c r="P76" s="12" t="s">
        <v>1361</v>
      </c>
      <c r="Q76" s="24" t="s">
        <v>1362</v>
      </c>
      <c r="R76" s="12">
        <v>38445</v>
      </c>
      <c r="S76" s="13" t="s">
        <v>3</v>
      </c>
      <c r="T76" s="12" t="s">
        <v>1361</v>
      </c>
      <c r="U76" s="24" t="s">
        <v>1362</v>
      </c>
      <c r="V76" s="12">
        <v>38445</v>
      </c>
      <c r="W76" s="13" t="s">
        <v>544</v>
      </c>
      <c r="X76" s="13" t="s">
        <v>1363</v>
      </c>
      <c r="Y76" s="13" t="s">
        <v>546</v>
      </c>
      <c r="Z76" s="24" t="s">
        <v>547</v>
      </c>
      <c r="AA76" s="24" t="s">
        <v>1364</v>
      </c>
      <c r="AB76" s="24"/>
      <c r="AC76" s="24"/>
      <c r="AD76" s="24"/>
      <c r="AE76" s="24" t="s">
        <v>321</v>
      </c>
      <c r="AF76" s="24"/>
      <c r="AG76" s="24"/>
      <c r="AH76" s="24"/>
      <c r="AI76" s="24"/>
      <c r="AJ76" s="24"/>
      <c r="AK76" s="24" t="s">
        <v>322</v>
      </c>
      <c r="AL76" s="24" t="s">
        <v>1365</v>
      </c>
      <c r="AM76" s="24" t="s">
        <v>1366</v>
      </c>
      <c r="AN76" s="24">
        <v>44061</v>
      </c>
      <c r="AO76" s="24" t="s">
        <v>1367</v>
      </c>
      <c r="AP76" s="24">
        <v>38446</v>
      </c>
      <c r="AQ76" s="24" t="s">
        <v>342</v>
      </c>
      <c r="AR76" s="24" t="s">
        <v>291</v>
      </c>
      <c r="AS76" s="24" t="s">
        <v>291</v>
      </c>
      <c r="AT76" s="24"/>
    </row>
    <row r="77" spans="1:46" s="23" customFormat="1" ht="15" customHeight="1">
      <c r="A77" s="11">
        <v>75</v>
      </c>
      <c r="B77" s="12">
        <v>1664</v>
      </c>
      <c r="C77" s="12" t="s">
        <v>271</v>
      </c>
      <c r="D77" s="11" t="s">
        <v>77</v>
      </c>
      <c r="E77" s="13" t="s">
        <v>1368</v>
      </c>
      <c r="F77" s="11" t="s">
        <v>1369</v>
      </c>
      <c r="G77" s="12" t="s">
        <v>1370</v>
      </c>
      <c r="H77" s="24" t="s">
        <v>1093</v>
      </c>
      <c r="I77" s="13" t="s">
        <v>1371</v>
      </c>
      <c r="J77" s="13" t="s">
        <v>1372</v>
      </c>
      <c r="K77" s="24" t="s">
        <v>1373</v>
      </c>
      <c r="L77" s="29" t="s">
        <v>1374</v>
      </c>
      <c r="M77" s="13" t="s">
        <v>248</v>
      </c>
      <c r="N77" s="13" t="s">
        <v>1375</v>
      </c>
      <c r="O77" s="13" t="s">
        <v>3</v>
      </c>
      <c r="P77" s="12" t="s">
        <v>1376</v>
      </c>
      <c r="Q77" s="24" t="s">
        <v>1262</v>
      </c>
      <c r="R77" s="12">
        <v>31615</v>
      </c>
      <c r="S77" s="13" t="s">
        <v>3</v>
      </c>
      <c r="T77" s="12" t="s">
        <v>1376</v>
      </c>
      <c r="U77" s="24" t="s">
        <v>1262</v>
      </c>
      <c r="V77" s="12">
        <v>31615</v>
      </c>
      <c r="W77" s="13" t="s">
        <v>544</v>
      </c>
      <c r="X77" s="13" t="s">
        <v>1377</v>
      </c>
      <c r="Y77" s="13" t="s">
        <v>546</v>
      </c>
      <c r="Z77" s="24" t="s">
        <v>547</v>
      </c>
      <c r="AA77" s="24" t="s">
        <v>1378</v>
      </c>
      <c r="AB77" s="24"/>
      <c r="AC77" s="24"/>
      <c r="AD77" s="24"/>
      <c r="AE77" s="24" t="s">
        <v>321</v>
      </c>
      <c r="AF77" s="24"/>
      <c r="AG77" s="24"/>
      <c r="AH77" s="24"/>
      <c r="AI77" s="24"/>
      <c r="AJ77" s="24"/>
      <c r="AK77" s="24" t="s">
        <v>322</v>
      </c>
      <c r="AL77" s="24" t="s">
        <v>1379</v>
      </c>
      <c r="AM77" s="24" t="s">
        <v>1380</v>
      </c>
      <c r="AN77" s="24">
        <v>18314</v>
      </c>
      <c r="AO77" s="24" t="s">
        <v>1381</v>
      </c>
      <c r="AP77" s="24">
        <v>38607</v>
      </c>
      <c r="AQ77" s="24" t="s">
        <v>3</v>
      </c>
      <c r="AR77" s="24" t="s">
        <v>291</v>
      </c>
      <c r="AS77" s="24" t="s">
        <v>291</v>
      </c>
      <c r="AT77" s="24"/>
    </row>
    <row r="78" spans="1:46" s="23" customFormat="1" ht="15" customHeight="1">
      <c r="A78" s="11">
        <v>76</v>
      </c>
      <c r="B78" s="12">
        <v>9304</v>
      </c>
      <c r="C78" s="12" t="s">
        <v>271</v>
      </c>
      <c r="D78" s="11" t="s">
        <v>96</v>
      </c>
      <c r="E78" s="13" t="s">
        <v>1382</v>
      </c>
      <c r="F78" s="11" t="s">
        <v>1383</v>
      </c>
      <c r="G78" s="12" t="s">
        <v>1384</v>
      </c>
      <c r="H78" s="24" t="s">
        <v>1385</v>
      </c>
      <c r="I78" s="13" t="s">
        <v>1386</v>
      </c>
      <c r="J78" s="13" t="s">
        <v>1387</v>
      </c>
      <c r="K78" s="24" t="s">
        <v>1388</v>
      </c>
      <c r="L78" s="29" t="s">
        <v>1389</v>
      </c>
      <c r="M78" s="13" t="s">
        <v>248</v>
      </c>
      <c r="N78" s="13" t="s">
        <v>1390</v>
      </c>
      <c r="O78" s="13" t="s">
        <v>4</v>
      </c>
      <c r="P78" s="12" t="s">
        <v>1391</v>
      </c>
      <c r="Q78" s="24" t="s">
        <v>1392</v>
      </c>
      <c r="R78" s="12">
        <v>451580</v>
      </c>
      <c r="S78" s="24"/>
      <c r="T78" s="24"/>
      <c r="U78" s="24"/>
      <c r="V78" s="24" t="s">
        <v>283</v>
      </c>
      <c r="W78" s="24"/>
      <c r="X78" s="24"/>
      <c r="Y78" s="24"/>
      <c r="Z78" s="24"/>
      <c r="AA78" s="24"/>
      <c r="AB78" s="13" t="s">
        <v>4</v>
      </c>
      <c r="AC78" s="12" t="s">
        <v>1391</v>
      </c>
      <c r="AD78" s="24" t="s">
        <v>1392</v>
      </c>
      <c r="AE78" s="12">
        <v>451580</v>
      </c>
      <c r="AF78" s="13" t="s">
        <v>284</v>
      </c>
      <c r="AG78" s="13" t="s">
        <v>1393</v>
      </c>
      <c r="AH78" s="13" t="s">
        <v>286</v>
      </c>
      <c r="AI78" s="24" t="s">
        <v>287</v>
      </c>
      <c r="AJ78" s="24">
        <v>6</v>
      </c>
      <c r="AK78" s="24" t="s">
        <v>1394</v>
      </c>
      <c r="AL78" s="24" t="s">
        <v>1395</v>
      </c>
      <c r="AM78" s="24" t="s">
        <v>1396</v>
      </c>
      <c r="AN78" s="24">
        <v>38811</v>
      </c>
      <c r="AO78" s="24" t="s">
        <v>1391</v>
      </c>
      <c r="AP78" s="24">
        <v>451586</v>
      </c>
      <c r="AQ78" s="24" t="s">
        <v>4</v>
      </c>
      <c r="AR78" s="24" t="s">
        <v>291</v>
      </c>
      <c r="AS78" s="24" t="s">
        <v>291</v>
      </c>
      <c r="AT78" s="24"/>
    </row>
    <row r="79" spans="1:46" s="23" customFormat="1" ht="15" customHeight="1">
      <c r="A79" s="11">
        <v>77</v>
      </c>
      <c r="B79" s="12">
        <v>9343</v>
      </c>
      <c r="C79" s="12" t="s">
        <v>271</v>
      </c>
      <c r="D79" s="11" t="s">
        <v>78</v>
      </c>
      <c r="E79" s="13" t="s">
        <v>1397</v>
      </c>
      <c r="F79" s="11" t="s">
        <v>1398</v>
      </c>
      <c r="G79" s="12" t="s">
        <v>1399</v>
      </c>
      <c r="H79" s="24" t="s">
        <v>1093</v>
      </c>
      <c r="I79" s="13" t="s">
        <v>1400</v>
      </c>
      <c r="J79" s="13" t="s">
        <v>1401</v>
      </c>
      <c r="K79" s="24" t="s">
        <v>1402</v>
      </c>
      <c r="L79" s="13" t="s">
        <v>1403</v>
      </c>
      <c r="M79" s="13"/>
      <c r="N79" s="13" t="s">
        <v>1404</v>
      </c>
      <c r="O79" s="13" t="s">
        <v>4</v>
      </c>
      <c r="P79" s="12" t="s">
        <v>1405</v>
      </c>
      <c r="Q79" s="24" t="s">
        <v>1406</v>
      </c>
      <c r="R79" s="12">
        <v>477550</v>
      </c>
      <c r="S79" s="24"/>
      <c r="T79" s="24"/>
      <c r="U79" s="24"/>
      <c r="V79" s="24" t="s">
        <v>283</v>
      </c>
      <c r="W79" s="24"/>
      <c r="X79" s="24"/>
      <c r="Y79" s="24"/>
      <c r="Z79" s="24"/>
      <c r="AA79" s="24"/>
      <c r="AB79" s="13" t="s">
        <v>4</v>
      </c>
      <c r="AC79" s="12" t="s">
        <v>1405</v>
      </c>
      <c r="AD79" s="24" t="s">
        <v>1406</v>
      </c>
      <c r="AE79" s="12">
        <v>477550</v>
      </c>
      <c r="AF79" s="13" t="s">
        <v>284</v>
      </c>
      <c r="AG79" s="13" t="s">
        <v>1407</v>
      </c>
      <c r="AH79" s="13" t="s">
        <v>286</v>
      </c>
      <c r="AI79" s="24" t="s">
        <v>287</v>
      </c>
      <c r="AJ79" s="24">
        <v>109</v>
      </c>
      <c r="AK79" s="24" t="s">
        <v>1408</v>
      </c>
      <c r="AL79" s="24" t="s">
        <v>1409</v>
      </c>
      <c r="AM79" s="24" t="s">
        <v>1410</v>
      </c>
      <c r="AN79" s="24">
        <v>40299</v>
      </c>
      <c r="AO79" s="24" t="s">
        <v>1405</v>
      </c>
      <c r="AP79" s="24">
        <v>477556</v>
      </c>
      <c r="AQ79" s="24" t="s">
        <v>12</v>
      </c>
      <c r="AR79" s="24" t="s">
        <v>12</v>
      </c>
      <c r="AS79" s="24" t="s">
        <v>1411</v>
      </c>
      <c r="AT79" s="24"/>
    </row>
    <row r="80" spans="1:46" s="23" customFormat="1" ht="15" customHeight="1">
      <c r="A80" s="11">
        <v>78</v>
      </c>
      <c r="B80" s="12">
        <v>8578</v>
      </c>
      <c r="C80" s="12"/>
      <c r="D80" s="11" t="s">
        <v>1412</v>
      </c>
      <c r="E80" s="13" t="s">
        <v>1413</v>
      </c>
      <c r="F80" s="11" t="s">
        <v>1414</v>
      </c>
      <c r="G80" s="12" t="s">
        <v>1415</v>
      </c>
      <c r="H80" s="24" t="s">
        <v>1093</v>
      </c>
      <c r="I80" s="11" t="s">
        <v>1416</v>
      </c>
      <c r="J80" s="11" t="s">
        <v>1417</v>
      </c>
      <c r="K80" s="24" t="s">
        <v>1418</v>
      </c>
      <c r="L80" s="11" t="s">
        <v>1419</v>
      </c>
      <c r="M80" s="13"/>
      <c r="N80" s="13" t="s">
        <v>1420</v>
      </c>
      <c r="O80" s="13" t="s">
        <v>3</v>
      </c>
      <c r="P80" s="12" t="s">
        <v>1421</v>
      </c>
      <c r="Q80" s="24" t="s">
        <v>1422</v>
      </c>
      <c r="R80" s="12">
        <v>38547</v>
      </c>
      <c r="S80" s="13" t="s">
        <v>3</v>
      </c>
      <c r="T80" s="12" t="s">
        <v>1421</v>
      </c>
      <c r="U80" s="24" t="s">
        <v>1422</v>
      </c>
      <c r="V80" s="12">
        <v>38547</v>
      </c>
      <c r="W80" s="13" t="s">
        <v>544</v>
      </c>
      <c r="X80" s="13" t="s">
        <v>1423</v>
      </c>
      <c r="Y80" s="13" t="s">
        <v>546</v>
      </c>
      <c r="Z80" s="24" t="s">
        <v>547</v>
      </c>
      <c r="AA80" s="24" t="s">
        <v>1424</v>
      </c>
      <c r="AB80" s="24"/>
      <c r="AC80" s="24"/>
      <c r="AD80" s="24"/>
      <c r="AE80" s="24" t="s">
        <v>321</v>
      </c>
      <c r="AF80" s="24"/>
      <c r="AG80" s="24"/>
      <c r="AH80" s="24"/>
      <c r="AI80" s="24"/>
      <c r="AJ80" s="24"/>
      <c r="AK80" s="24" t="s">
        <v>322</v>
      </c>
      <c r="AL80" s="24" t="s">
        <v>1425</v>
      </c>
      <c r="AM80" s="24" t="s">
        <v>1426</v>
      </c>
      <c r="AN80" s="24">
        <v>44416</v>
      </c>
      <c r="AO80" s="24" t="s">
        <v>1427</v>
      </c>
      <c r="AP80" s="24">
        <v>38548</v>
      </c>
      <c r="AQ80" s="24" t="s">
        <v>342</v>
      </c>
      <c r="AR80" s="24" t="s">
        <v>291</v>
      </c>
      <c r="AS80" s="24" t="s">
        <v>291</v>
      </c>
      <c r="AT80" s="24"/>
    </row>
    <row r="81" spans="1:46" s="23" customFormat="1" ht="15" customHeight="1">
      <c r="A81" s="11">
        <v>79</v>
      </c>
      <c r="B81" s="12">
        <v>9387</v>
      </c>
      <c r="C81" s="12" t="s">
        <v>271</v>
      </c>
      <c r="D81" s="11" t="s">
        <v>79</v>
      </c>
      <c r="E81" s="13" t="s">
        <v>1428</v>
      </c>
      <c r="F81" s="11" t="s">
        <v>1429</v>
      </c>
      <c r="G81" s="12" t="s">
        <v>1430</v>
      </c>
      <c r="H81" s="24" t="s">
        <v>1093</v>
      </c>
      <c r="I81" s="13" t="s">
        <v>1431</v>
      </c>
      <c r="J81" s="13" t="s">
        <v>1432</v>
      </c>
      <c r="K81" s="24" t="s">
        <v>1433</v>
      </c>
      <c r="L81" s="29" t="s">
        <v>1434</v>
      </c>
      <c r="M81" s="13" t="s">
        <v>248</v>
      </c>
      <c r="N81" s="13" t="s">
        <v>1435</v>
      </c>
      <c r="O81" s="13" t="s">
        <v>3</v>
      </c>
      <c r="P81" s="12" t="s">
        <v>1436</v>
      </c>
      <c r="Q81" s="24" t="s">
        <v>1437</v>
      </c>
      <c r="R81" s="12">
        <v>38443</v>
      </c>
      <c r="S81" s="13" t="s">
        <v>3</v>
      </c>
      <c r="T81" s="12" t="s">
        <v>1436</v>
      </c>
      <c r="U81" s="24" t="s">
        <v>1437</v>
      </c>
      <c r="V81" s="12">
        <v>38443</v>
      </c>
      <c r="W81" s="13" t="s">
        <v>544</v>
      </c>
      <c r="X81" s="13" t="s">
        <v>1438</v>
      </c>
      <c r="Y81" s="13" t="s">
        <v>546</v>
      </c>
      <c r="Z81" s="24" t="s">
        <v>547</v>
      </c>
      <c r="AA81" s="24" t="s">
        <v>1439</v>
      </c>
      <c r="AB81" s="24"/>
      <c r="AC81" s="24"/>
      <c r="AD81" s="24"/>
      <c r="AE81" s="24" t="s">
        <v>321</v>
      </c>
      <c r="AF81" s="24"/>
      <c r="AG81" s="24"/>
      <c r="AH81" s="24"/>
      <c r="AI81" s="24"/>
      <c r="AJ81" s="24"/>
      <c r="AK81" s="24" t="s">
        <v>322</v>
      </c>
      <c r="AL81" s="24" t="s">
        <v>1440</v>
      </c>
      <c r="AM81" s="24" t="s">
        <v>1441</v>
      </c>
      <c r="AN81" s="24">
        <v>36842</v>
      </c>
      <c r="AO81" s="24" t="s">
        <v>1442</v>
      </c>
      <c r="AP81" s="24">
        <v>38444</v>
      </c>
      <c r="AQ81" s="24" t="s">
        <v>342</v>
      </c>
      <c r="AR81" s="24" t="s">
        <v>291</v>
      </c>
      <c r="AS81" s="24" t="s">
        <v>291</v>
      </c>
      <c r="AT81" s="24"/>
    </row>
    <row r="82" spans="1:46" s="23" customFormat="1" ht="15" customHeight="1">
      <c r="A82" s="11">
        <v>80</v>
      </c>
      <c r="B82" s="12">
        <v>8963</v>
      </c>
      <c r="C82" s="12" t="s">
        <v>271</v>
      </c>
      <c r="D82" s="11" t="s">
        <v>80</v>
      </c>
      <c r="E82" s="13" t="s">
        <v>1443</v>
      </c>
      <c r="F82" s="11" t="s">
        <v>1444</v>
      </c>
      <c r="G82" s="12" t="s">
        <v>1445</v>
      </c>
      <c r="H82" s="24" t="s">
        <v>1093</v>
      </c>
      <c r="I82" s="13" t="s">
        <v>1446</v>
      </c>
      <c r="J82" s="13" t="s">
        <v>1447</v>
      </c>
      <c r="K82" s="24" t="s">
        <v>1448</v>
      </c>
      <c r="L82" s="29" t="s">
        <v>1449</v>
      </c>
      <c r="M82" s="13" t="s">
        <v>248</v>
      </c>
      <c r="N82" s="13" t="s">
        <v>1450</v>
      </c>
      <c r="O82" s="13" t="s">
        <v>4</v>
      </c>
      <c r="P82" s="12" t="s">
        <v>1451</v>
      </c>
      <c r="Q82" s="24" t="s">
        <v>1452</v>
      </c>
      <c r="R82" s="12">
        <v>475170</v>
      </c>
      <c r="S82" s="24"/>
      <c r="T82" s="24"/>
      <c r="U82" s="24"/>
      <c r="V82" s="24" t="s">
        <v>283</v>
      </c>
      <c r="W82" s="24"/>
      <c r="X82" s="24"/>
      <c r="Y82" s="24"/>
      <c r="Z82" s="24"/>
      <c r="AA82" s="24"/>
      <c r="AB82" s="13" t="s">
        <v>4</v>
      </c>
      <c r="AC82" s="12" t="s">
        <v>1451</v>
      </c>
      <c r="AD82" s="24" t="s">
        <v>1452</v>
      </c>
      <c r="AE82" s="12">
        <v>475170</v>
      </c>
      <c r="AF82" s="13" t="s">
        <v>284</v>
      </c>
      <c r="AG82" s="13" t="s">
        <v>1453</v>
      </c>
      <c r="AH82" s="13" t="s">
        <v>286</v>
      </c>
      <c r="AI82" s="24" t="s">
        <v>287</v>
      </c>
      <c r="AJ82" s="24">
        <v>228</v>
      </c>
      <c r="AK82" s="24" t="s">
        <v>1454</v>
      </c>
      <c r="AL82" s="24" t="s">
        <v>1455</v>
      </c>
      <c r="AM82" s="24" t="s">
        <v>1456</v>
      </c>
      <c r="AN82" s="24">
        <v>40360</v>
      </c>
      <c r="AO82" s="24" t="s">
        <v>1451</v>
      </c>
      <c r="AP82" s="24">
        <v>475176</v>
      </c>
      <c r="AQ82" s="24" t="s">
        <v>4</v>
      </c>
      <c r="AR82" s="24" t="s">
        <v>291</v>
      </c>
      <c r="AS82" s="24" t="s">
        <v>291</v>
      </c>
      <c r="AT82" s="24"/>
    </row>
    <row r="83" spans="1:46" s="23" customFormat="1" ht="15" customHeight="1">
      <c r="A83" s="11">
        <v>81</v>
      </c>
      <c r="B83" s="12">
        <v>783</v>
      </c>
      <c r="C83" s="12" t="s">
        <v>271</v>
      </c>
      <c r="D83" s="11" t="s">
        <v>1457</v>
      </c>
      <c r="E83" s="13" t="s">
        <v>1458</v>
      </c>
      <c r="F83" s="11" t="s">
        <v>1459</v>
      </c>
      <c r="G83" s="12" t="s">
        <v>1460</v>
      </c>
      <c r="H83" s="24" t="s">
        <v>1385</v>
      </c>
      <c r="I83" s="11" t="s">
        <v>1461</v>
      </c>
      <c r="J83" s="11" t="s">
        <v>1462</v>
      </c>
      <c r="K83" s="24" t="s">
        <v>1463</v>
      </c>
      <c r="L83" s="30" t="s">
        <v>1464</v>
      </c>
      <c r="M83" s="13" t="s">
        <v>248</v>
      </c>
      <c r="N83" s="13" t="s">
        <v>1465</v>
      </c>
      <c r="O83" s="13" t="s">
        <v>4</v>
      </c>
      <c r="P83" s="12" t="s">
        <v>1466</v>
      </c>
      <c r="Q83" s="24" t="s">
        <v>1467</v>
      </c>
      <c r="R83" s="12">
        <v>450920</v>
      </c>
      <c r="S83" s="24"/>
      <c r="T83" s="24"/>
      <c r="U83" s="24"/>
      <c r="V83" s="24" t="s">
        <v>283</v>
      </c>
      <c r="W83" s="24"/>
      <c r="X83" s="24"/>
      <c r="Y83" s="24"/>
      <c r="Z83" s="24"/>
      <c r="AA83" s="24"/>
      <c r="AB83" s="13" t="s">
        <v>4</v>
      </c>
      <c r="AC83" s="12" t="s">
        <v>1466</v>
      </c>
      <c r="AD83" s="24" t="s">
        <v>1467</v>
      </c>
      <c r="AE83" s="12">
        <v>450920</v>
      </c>
      <c r="AF83" s="13" t="s">
        <v>284</v>
      </c>
      <c r="AG83" s="13" t="s">
        <v>1468</v>
      </c>
      <c r="AH83" s="13" t="s">
        <v>286</v>
      </c>
      <c r="AI83" s="24" t="s">
        <v>287</v>
      </c>
      <c r="AJ83" s="24"/>
      <c r="AK83" s="24"/>
      <c r="AL83" s="24" t="s">
        <v>1469</v>
      </c>
      <c r="AM83" s="24" t="s">
        <v>1470</v>
      </c>
      <c r="AN83" s="24">
        <v>41428</v>
      </c>
      <c r="AO83" s="25" t="s">
        <v>1180</v>
      </c>
      <c r="AP83" s="24">
        <v>450926</v>
      </c>
      <c r="AQ83" s="24" t="s">
        <v>4</v>
      </c>
      <c r="AR83" s="24" t="s">
        <v>291</v>
      </c>
      <c r="AS83" s="24" t="s">
        <v>291</v>
      </c>
      <c r="AT83" s="24" t="s">
        <v>1471</v>
      </c>
    </row>
    <row r="84" spans="1:46" s="23" customFormat="1" ht="15" customHeight="1">
      <c r="A84" s="11">
        <v>82</v>
      </c>
      <c r="B84" s="12">
        <v>5581</v>
      </c>
      <c r="C84" s="12" t="s">
        <v>271</v>
      </c>
      <c r="D84" s="11" t="s">
        <v>83</v>
      </c>
      <c r="E84" s="13" t="s">
        <v>1472</v>
      </c>
      <c r="F84" s="11" t="s">
        <v>1473</v>
      </c>
      <c r="G84" s="12" t="s">
        <v>1474</v>
      </c>
      <c r="H84" s="24" t="s">
        <v>1385</v>
      </c>
      <c r="I84" s="13" t="s">
        <v>1475</v>
      </c>
      <c r="J84" s="13" t="s">
        <v>1476</v>
      </c>
      <c r="K84" s="24" t="s">
        <v>1477</v>
      </c>
      <c r="L84" s="29" t="s">
        <v>1478</v>
      </c>
      <c r="M84" s="13" t="s">
        <v>248</v>
      </c>
      <c r="N84" s="13" t="s">
        <v>1479</v>
      </c>
      <c r="O84" s="13" t="s">
        <v>4</v>
      </c>
      <c r="P84" s="12" t="s">
        <v>1480</v>
      </c>
      <c r="Q84" s="24" t="s">
        <v>1481</v>
      </c>
      <c r="R84" s="12">
        <v>455500</v>
      </c>
      <c r="S84" s="24"/>
      <c r="T84" s="24"/>
      <c r="U84" s="24"/>
      <c r="V84" s="24" t="s">
        <v>283</v>
      </c>
      <c r="W84" s="24"/>
      <c r="X84" s="24"/>
      <c r="Y84" s="24"/>
      <c r="Z84" s="24"/>
      <c r="AA84" s="24"/>
      <c r="AB84" s="13" t="s">
        <v>4</v>
      </c>
      <c r="AC84" s="12" t="s">
        <v>1480</v>
      </c>
      <c r="AD84" s="24" t="s">
        <v>1481</v>
      </c>
      <c r="AE84" s="12">
        <v>455500</v>
      </c>
      <c r="AF84" s="13" t="s">
        <v>284</v>
      </c>
      <c r="AG84" s="13" t="s">
        <v>1482</v>
      </c>
      <c r="AH84" s="13" t="s">
        <v>286</v>
      </c>
      <c r="AI84" s="24" t="s">
        <v>287</v>
      </c>
      <c r="AJ84" s="24">
        <v>275</v>
      </c>
      <c r="AK84" s="24" t="s">
        <v>1483</v>
      </c>
      <c r="AL84" s="24" t="s">
        <v>1484</v>
      </c>
      <c r="AM84" s="24" t="s">
        <v>1485</v>
      </c>
      <c r="AN84" s="24">
        <v>44643</v>
      </c>
      <c r="AO84" s="24" t="s">
        <v>1480</v>
      </c>
      <c r="AP84" s="24">
        <v>455506</v>
      </c>
      <c r="AQ84" s="24" t="s">
        <v>4</v>
      </c>
      <c r="AR84" s="24" t="s">
        <v>291</v>
      </c>
      <c r="AS84" s="24" t="s">
        <v>291</v>
      </c>
      <c r="AT84" s="24"/>
    </row>
    <row r="85" spans="1:46" s="23" customFormat="1" ht="15" customHeight="1">
      <c r="A85" s="11">
        <v>83</v>
      </c>
      <c r="B85" s="12">
        <v>8919</v>
      </c>
      <c r="C85" s="12" t="s">
        <v>271</v>
      </c>
      <c r="D85" s="11" t="s">
        <v>84</v>
      </c>
      <c r="E85" s="13" t="s">
        <v>1486</v>
      </c>
      <c r="F85" s="11" t="s">
        <v>1487</v>
      </c>
      <c r="G85" s="12" t="s">
        <v>1488</v>
      </c>
      <c r="H85" s="24" t="s">
        <v>1385</v>
      </c>
      <c r="I85" s="13" t="s">
        <v>1489</v>
      </c>
      <c r="J85" s="13" t="s">
        <v>1490</v>
      </c>
      <c r="K85" s="24" t="s">
        <v>1491</v>
      </c>
      <c r="L85" s="29" t="s">
        <v>1492</v>
      </c>
      <c r="M85" s="13" t="s">
        <v>248</v>
      </c>
      <c r="N85" s="13" t="s">
        <v>1493</v>
      </c>
      <c r="O85" s="13" t="s">
        <v>3</v>
      </c>
      <c r="P85" s="12" t="s">
        <v>1494</v>
      </c>
      <c r="Q85" s="24" t="s">
        <v>1481</v>
      </c>
      <c r="R85" s="12">
        <v>33821</v>
      </c>
      <c r="S85" s="13" t="s">
        <v>3</v>
      </c>
      <c r="T85" s="12" t="s">
        <v>1494</v>
      </c>
      <c r="U85" s="24" t="s">
        <v>1481</v>
      </c>
      <c r="V85" s="12">
        <v>33821</v>
      </c>
      <c r="W85" s="13" t="s">
        <v>544</v>
      </c>
      <c r="X85" s="13" t="s">
        <v>1495</v>
      </c>
      <c r="Y85" s="13" t="s">
        <v>546</v>
      </c>
      <c r="Z85" s="24" t="s">
        <v>547</v>
      </c>
      <c r="AA85" s="24" t="s">
        <v>1496</v>
      </c>
      <c r="AB85" s="24"/>
      <c r="AC85" s="24"/>
      <c r="AD85" s="24"/>
      <c r="AE85" s="24" t="s">
        <v>321</v>
      </c>
      <c r="AF85" s="24"/>
      <c r="AG85" s="24"/>
      <c r="AH85" s="24"/>
      <c r="AI85" s="24"/>
      <c r="AJ85" s="24"/>
      <c r="AK85" s="24" t="s">
        <v>322</v>
      </c>
      <c r="AL85" s="24" t="s">
        <v>1497</v>
      </c>
      <c r="AM85" s="24" t="s">
        <v>1498</v>
      </c>
      <c r="AN85" s="24">
        <v>39866</v>
      </c>
      <c r="AO85" s="24" t="s">
        <v>1499</v>
      </c>
      <c r="AP85" s="24">
        <v>39726</v>
      </c>
      <c r="AQ85" s="24" t="s">
        <v>3</v>
      </c>
      <c r="AR85" s="24" t="s">
        <v>291</v>
      </c>
      <c r="AS85" s="24" t="s">
        <v>291</v>
      </c>
      <c r="AT85" s="24"/>
    </row>
    <row r="86" spans="1:46" s="23" customFormat="1" ht="15" customHeight="1">
      <c r="A86" s="11">
        <v>84</v>
      </c>
      <c r="B86" s="12">
        <v>1631</v>
      </c>
      <c r="C86" s="12" t="s">
        <v>271</v>
      </c>
      <c r="D86" s="11" t="s">
        <v>95</v>
      </c>
      <c r="E86" s="13" t="s">
        <v>1500</v>
      </c>
      <c r="F86" s="11" t="s">
        <v>1501</v>
      </c>
      <c r="G86" s="12" t="s">
        <v>1502</v>
      </c>
      <c r="H86" s="24" t="s">
        <v>1385</v>
      </c>
      <c r="I86" s="13" t="s">
        <v>1503</v>
      </c>
      <c r="J86" s="13" t="s">
        <v>1504</v>
      </c>
      <c r="K86" s="24" t="s">
        <v>1505</v>
      </c>
      <c r="L86" s="29" t="s">
        <v>1506</v>
      </c>
      <c r="M86" s="13" t="s">
        <v>248</v>
      </c>
      <c r="N86" s="13" t="s">
        <v>1507</v>
      </c>
      <c r="O86" s="13" t="s">
        <v>4</v>
      </c>
      <c r="P86" s="12" t="s">
        <v>1508</v>
      </c>
      <c r="Q86" s="24" t="s">
        <v>1509</v>
      </c>
      <c r="R86" s="12">
        <v>456480</v>
      </c>
      <c r="S86" s="24"/>
      <c r="T86" s="24"/>
      <c r="U86" s="24"/>
      <c r="V86" s="24" t="s">
        <v>283</v>
      </c>
      <c r="W86" s="24"/>
      <c r="X86" s="24"/>
      <c r="Y86" s="24"/>
      <c r="Z86" s="24"/>
      <c r="AA86" s="24"/>
      <c r="AB86" s="13" t="s">
        <v>4</v>
      </c>
      <c r="AC86" s="12" t="s">
        <v>1508</v>
      </c>
      <c r="AD86" s="24" t="s">
        <v>1509</v>
      </c>
      <c r="AE86" s="12">
        <v>456480</v>
      </c>
      <c r="AF86" s="13" t="s">
        <v>284</v>
      </c>
      <c r="AG86" s="13" t="s">
        <v>1510</v>
      </c>
      <c r="AH86" s="13" t="s">
        <v>286</v>
      </c>
      <c r="AI86" s="24" t="s">
        <v>287</v>
      </c>
      <c r="AJ86" s="24">
        <v>208</v>
      </c>
      <c r="AK86" s="24" t="s">
        <v>1511</v>
      </c>
      <c r="AL86" s="24" t="s">
        <v>1512</v>
      </c>
      <c r="AM86" s="24" t="s">
        <v>1513</v>
      </c>
      <c r="AN86" s="24">
        <v>27004</v>
      </c>
      <c r="AO86" s="24" t="s">
        <v>1514</v>
      </c>
      <c r="AP86" s="24">
        <v>456486</v>
      </c>
      <c r="AQ86" s="24" t="s">
        <v>4</v>
      </c>
      <c r="AR86" s="24" t="s">
        <v>291</v>
      </c>
      <c r="AS86" s="24" t="s">
        <v>291</v>
      </c>
      <c r="AT86" s="24"/>
    </row>
    <row r="87" spans="1:46" s="23" customFormat="1" ht="15" customHeight="1">
      <c r="A87" s="11">
        <v>85</v>
      </c>
      <c r="B87" s="12">
        <v>8443</v>
      </c>
      <c r="C87" s="12" t="s">
        <v>271</v>
      </c>
      <c r="D87" s="11" t="s">
        <v>1515</v>
      </c>
      <c r="E87" s="13" t="s">
        <v>1516</v>
      </c>
      <c r="F87" s="11" t="s">
        <v>1517</v>
      </c>
      <c r="G87" s="12" t="s">
        <v>1518</v>
      </c>
      <c r="H87" s="24" t="s">
        <v>1385</v>
      </c>
      <c r="I87" s="13" t="s">
        <v>1519</v>
      </c>
      <c r="J87" s="13" t="s">
        <v>1520</v>
      </c>
      <c r="K87" s="24" t="s">
        <v>1521</v>
      </c>
      <c r="L87" s="13" t="s">
        <v>1522</v>
      </c>
      <c r="M87" s="13"/>
      <c r="N87" s="13" t="s">
        <v>1523</v>
      </c>
      <c r="O87" s="13" t="s">
        <v>3</v>
      </c>
      <c r="P87" s="12" t="s">
        <v>1524</v>
      </c>
      <c r="Q87" s="24" t="s">
        <v>1509</v>
      </c>
      <c r="R87" s="12">
        <v>33409</v>
      </c>
      <c r="S87" s="13" t="s">
        <v>3</v>
      </c>
      <c r="T87" s="12" t="s">
        <v>1524</v>
      </c>
      <c r="U87" s="24" t="s">
        <v>1509</v>
      </c>
      <c r="V87" s="12">
        <v>33409</v>
      </c>
      <c r="W87" s="13" t="s">
        <v>544</v>
      </c>
      <c r="X87" s="13" t="s">
        <v>1525</v>
      </c>
      <c r="Y87" s="13" t="s">
        <v>546</v>
      </c>
      <c r="Z87" s="24" t="s">
        <v>547</v>
      </c>
      <c r="AA87" s="24" t="s">
        <v>1526</v>
      </c>
      <c r="AB87" s="24"/>
      <c r="AC87" s="24"/>
      <c r="AD87" s="24"/>
      <c r="AE87" s="24" t="s">
        <v>321</v>
      </c>
      <c r="AF87" s="24"/>
      <c r="AG87" s="24"/>
      <c r="AH87" s="24"/>
      <c r="AI87" s="24"/>
      <c r="AJ87" s="24"/>
      <c r="AK87" s="24" t="s">
        <v>322</v>
      </c>
      <c r="AL87" s="24" t="s">
        <v>1527</v>
      </c>
      <c r="AM87" s="24" t="s">
        <v>1528</v>
      </c>
      <c r="AN87" s="24">
        <v>21305</v>
      </c>
      <c r="AO87" s="24" t="s">
        <v>1529</v>
      </c>
      <c r="AP87" s="24">
        <v>30090</v>
      </c>
      <c r="AQ87" s="24" t="s">
        <v>342</v>
      </c>
      <c r="AR87" s="24" t="s">
        <v>291</v>
      </c>
      <c r="AS87" s="24" t="s">
        <v>291</v>
      </c>
      <c r="AT87" s="24"/>
    </row>
    <row r="88" spans="1:46" s="23" customFormat="1" ht="15" customHeight="1">
      <c r="A88" s="11">
        <v>86</v>
      </c>
      <c r="B88" s="12">
        <v>8965</v>
      </c>
      <c r="C88" s="12" t="s">
        <v>271</v>
      </c>
      <c r="D88" s="11" t="s">
        <v>98</v>
      </c>
      <c r="E88" s="13" t="s">
        <v>1530</v>
      </c>
      <c r="F88" s="11" t="s">
        <v>1531</v>
      </c>
      <c r="G88" s="12" t="s">
        <v>1532</v>
      </c>
      <c r="H88" s="24" t="s">
        <v>1385</v>
      </c>
      <c r="I88" s="13" t="s">
        <v>1533</v>
      </c>
      <c r="J88" s="13" t="s">
        <v>1534</v>
      </c>
      <c r="K88" s="24" t="s">
        <v>1535</v>
      </c>
      <c r="L88" s="29" t="s">
        <v>1536</v>
      </c>
      <c r="M88" s="13" t="s">
        <v>248</v>
      </c>
      <c r="N88" s="13" t="s">
        <v>1537</v>
      </c>
      <c r="O88" s="13" t="s">
        <v>4</v>
      </c>
      <c r="P88" s="12" t="s">
        <v>1538</v>
      </c>
      <c r="Q88" s="24" t="s">
        <v>1539</v>
      </c>
      <c r="R88" s="12">
        <v>458990</v>
      </c>
      <c r="S88" s="24"/>
      <c r="T88" s="24"/>
      <c r="U88" s="24"/>
      <c r="V88" s="24" t="s">
        <v>283</v>
      </c>
      <c r="W88" s="24"/>
      <c r="X88" s="24"/>
      <c r="Y88" s="24"/>
      <c r="Z88" s="24"/>
      <c r="AA88" s="24"/>
      <c r="AB88" s="13" t="s">
        <v>4</v>
      </c>
      <c r="AC88" s="12" t="s">
        <v>1538</v>
      </c>
      <c r="AD88" s="24" t="s">
        <v>1539</v>
      </c>
      <c r="AE88" s="12">
        <v>458990</v>
      </c>
      <c r="AF88" s="13" t="s">
        <v>284</v>
      </c>
      <c r="AG88" s="13" t="s">
        <v>1540</v>
      </c>
      <c r="AH88" s="13" t="s">
        <v>286</v>
      </c>
      <c r="AI88" s="24" t="s">
        <v>287</v>
      </c>
      <c r="AJ88" s="24">
        <v>120</v>
      </c>
      <c r="AK88" s="24" t="s">
        <v>1541</v>
      </c>
      <c r="AL88" s="24" t="s">
        <v>1542</v>
      </c>
      <c r="AM88" s="24" t="s">
        <v>1543</v>
      </c>
      <c r="AN88" s="24">
        <v>39090</v>
      </c>
      <c r="AO88" s="25" t="s">
        <v>1544</v>
      </c>
      <c r="AP88" s="24">
        <v>458996</v>
      </c>
      <c r="AQ88" s="24" t="s">
        <v>12</v>
      </c>
      <c r="AR88" s="24" t="s">
        <v>12</v>
      </c>
      <c r="AS88" s="24" t="s">
        <v>1545</v>
      </c>
      <c r="AT88" s="24" t="s">
        <v>1546</v>
      </c>
    </row>
    <row r="89" spans="1:46" s="23" customFormat="1" ht="15" customHeight="1">
      <c r="A89" s="11">
        <v>87</v>
      </c>
      <c r="B89" s="12">
        <v>1649</v>
      </c>
      <c r="C89" s="12" t="s">
        <v>271</v>
      </c>
      <c r="D89" s="11" t="s">
        <v>99</v>
      </c>
      <c r="E89" s="13" t="s">
        <v>1547</v>
      </c>
      <c r="F89" s="11" t="s">
        <v>1548</v>
      </c>
      <c r="G89" s="12" t="s">
        <v>1549</v>
      </c>
      <c r="H89" s="24" t="s">
        <v>1385</v>
      </c>
      <c r="I89" s="13" t="s">
        <v>1550</v>
      </c>
      <c r="J89" s="13" t="s">
        <v>1551</v>
      </c>
      <c r="K89" s="24" t="s">
        <v>1552</v>
      </c>
      <c r="L89" s="29" t="s">
        <v>1553</v>
      </c>
      <c r="M89" s="13" t="s">
        <v>248</v>
      </c>
      <c r="N89" s="13" t="s">
        <v>1554</v>
      </c>
      <c r="O89" s="13" t="s">
        <v>4</v>
      </c>
      <c r="P89" s="12" t="s">
        <v>1555</v>
      </c>
      <c r="Q89" s="24" t="s">
        <v>1556</v>
      </c>
      <c r="R89" s="12">
        <v>453340</v>
      </c>
      <c r="S89" s="24"/>
      <c r="T89" s="24"/>
      <c r="U89" s="24"/>
      <c r="V89" s="24" t="s">
        <v>283</v>
      </c>
      <c r="W89" s="24"/>
      <c r="X89" s="24"/>
      <c r="Y89" s="24"/>
      <c r="Z89" s="24"/>
      <c r="AA89" s="24"/>
      <c r="AB89" s="13" t="s">
        <v>4</v>
      </c>
      <c r="AC89" s="12" t="s">
        <v>1555</v>
      </c>
      <c r="AD89" s="24" t="s">
        <v>1556</v>
      </c>
      <c r="AE89" s="12">
        <v>453340</v>
      </c>
      <c r="AF89" s="13" t="s">
        <v>284</v>
      </c>
      <c r="AG89" s="13" t="s">
        <v>1557</v>
      </c>
      <c r="AH89" s="13" t="s">
        <v>286</v>
      </c>
      <c r="AI89" s="24" t="s">
        <v>287</v>
      </c>
      <c r="AJ89" s="24">
        <v>232</v>
      </c>
      <c r="AK89" s="24" t="s">
        <v>1558</v>
      </c>
      <c r="AL89" s="24" t="s">
        <v>1559</v>
      </c>
      <c r="AM89" s="24" t="s">
        <v>1560</v>
      </c>
      <c r="AN89" s="24">
        <v>43586</v>
      </c>
      <c r="AO89" s="24" t="s">
        <v>1555</v>
      </c>
      <c r="AP89" s="24">
        <v>453346</v>
      </c>
      <c r="AQ89" s="24" t="s">
        <v>12</v>
      </c>
      <c r="AR89" s="24" t="s">
        <v>12</v>
      </c>
      <c r="AS89" s="24" t="s">
        <v>1561</v>
      </c>
      <c r="AT89" s="24"/>
    </row>
    <row r="90" spans="1:46" s="23" customFormat="1" ht="15" customHeight="1">
      <c r="A90" s="11">
        <v>88</v>
      </c>
      <c r="B90" s="12">
        <v>1650</v>
      </c>
      <c r="C90" s="12" t="s">
        <v>271</v>
      </c>
      <c r="D90" s="11" t="s">
        <v>82</v>
      </c>
      <c r="E90" s="13" t="s">
        <v>1562</v>
      </c>
      <c r="F90" s="11" t="s">
        <v>1563</v>
      </c>
      <c r="G90" s="12" t="s">
        <v>1564</v>
      </c>
      <c r="H90" s="24" t="s">
        <v>1385</v>
      </c>
      <c r="I90" s="13" t="s">
        <v>1565</v>
      </c>
      <c r="J90" s="13" t="s">
        <v>1566</v>
      </c>
      <c r="K90" s="24" t="s">
        <v>1567</v>
      </c>
      <c r="L90" s="29" t="s">
        <v>1568</v>
      </c>
      <c r="M90" s="13" t="s">
        <v>248</v>
      </c>
      <c r="N90" s="13" t="s">
        <v>1569</v>
      </c>
      <c r="O90" s="13" t="s">
        <v>3</v>
      </c>
      <c r="P90" s="12" t="s">
        <v>1570</v>
      </c>
      <c r="Q90" s="24" t="s">
        <v>1571</v>
      </c>
      <c r="R90" s="12">
        <v>33820</v>
      </c>
      <c r="S90" s="13" t="s">
        <v>3</v>
      </c>
      <c r="T90" s="12" t="s">
        <v>1570</v>
      </c>
      <c r="U90" s="24" t="s">
        <v>1571</v>
      </c>
      <c r="V90" s="12">
        <v>33820</v>
      </c>
      <c r="W90" s="13" t="s">
        <v>544</v>
      </c>
      <c r="X90" s="13" t="s">
        <v>1572</v>
      </c>
      <c r="Y90" s="13" t="s">
        <v>546</v>
      </c>
      <c r="Z90" s="24" t="s">
        <v>547</v>
      </c>
      <c r="AA90" s="24" t="s">
        <v>1573</v>
      </c>
      <c r="AB90" s="24"/>
      <c r="AC90" s="24"/>
      <c r="AD90" s="24"/>
      <c r="AE90" s="24" t="s">
        <v>321</v>
      </c>
      <c r="AF90" s="24"/>
      <c r="AG90" s="24"/>
      <c r="AH90" s="24"/>
      <c r="AI90" s="24"/>
      <c r="AJ90" s="24"/>
      <c r="AK90" s="24" t="s">
        <v>322</v>
      </c>
      <c r="AL90" s="24" t="s">
        <v>1574</v>
      </c>
      <c r="AM90" s="24" t="s">
        <v>1575</v>
      </c>
      <c r="AN90" s="24">
        <v>43806</v>
      </c>
      <c r="AO90" s="24" t="s">
        <v>1576</v>
      </c>
      <c r="AP90" s="24">
        <v>39723</v>
      </c>
      <c r="AQ90" s="24" t="s">
        <v>3</v>
      </c>
      <c r="AR90" s="24" t="s">
        <v>291</v>
      </c>
      <c r="AS90" s="24" t="s">
        <v>291</v>
      </c>
      <c r="AT90" s="24"/>
    </row>
    <row r="91" spans="1:46" s="23" customFormat="1" ht="15" customHeight="1">
      <c r="A91" s="11">
        <v>89</v>
      </c>
      <c r="B91" s="12">
        <v>2024</v>
      </c>
      <c r="C91" s="12" t="s">
        <v>271</v>
      </c>
      <c r="D91" s="11" t="s">
        <v>81</v>
      </c>
      <c r="E91" s="13" t="s">
        <v>1577</v>
      </c>
      <c r="F91" s="11" t="s">
        <v>1578</v>
      </c>
      <c r="G91" s="12" t="s">
        <v>1579</v>
      </c>
      <c r="H91" s="24" t="s">
        <v>1385</v>
      </c>
      <c r="I91" s="13" t="s">
        <v>1580</v>
      </c>
      <c r="J91" s="13" t="s">
        <v>1581</v>
      </c>
      <c r="K91" s="24" t="s">
        <v>1582</v>
      </c>
      <c r="L91" s="13" t="s">
        <v>1583</v>
      </c>
      <c r="M91" s="13"/>
      <c r="N91" s="13" t="s">
        <v>1584</v>
      </c>
      <c r="O91" s="13" t="s">
        <v>3</v>
      </c>
      <c r="P91" s="12" t="s">
        <v>1585</v>
      </c>
      <c r="Q91" s="24" t="s">
        <v>1571</v>
      </c>
      <c r="R91" s="12">
        <v>33819</v>
      </c>
      <c r="S91" s="13" t="s">
        <v>3</v>
      </c>
      <c r="T91" s="12" t="s">
        <v>1585</v>
      </c>
      <c r="U91" s="24" t="s">
        <v>1571</v>
      </c>
      <c r="V91" s="12">
        <v>33819</v>
      </c>
      <c r="W91" s="13" t="s">
        <v>544</v>
      </c>
      <c r="X91" s="13" t="s">
        <v>1586</v>
      </c>
      <c r="Y91" s="13" t="s">
        <v>546</v>
      </c>
      <c r="Z91" s="24" t="s">
        <v>547</v>
      </c>
      <c r="AA91" s="24" t="s">
        <v>1587</v>
      </c>
      <c r="AB91" s="24"/>
      <c r="AC91" s="24"/>
      <c r="AD91" s="24"/>
      <c r="AE91" s="24" t="s">
        <v>321</v>
      </c>
      <c r="AF91" s="24"/>
      <c r="AG91" s="24"/>
      <c r="AH91" s="24"/>
      <c r="AI91" s="24"/>
      <c r="AJ91" s="24"/>
      <c r="AK91" s="24" t="s">
        <v>322</v>
      </c>
      <c r="AL91" s="24" t="s">
        <v>1588</v>
      </c>
      <c r="AM91" s="24" t="s">
        <v>1589</v>
      </c>
      <c r="AN91" s="24">
        <v>32520</v>
      </c>
      <c r="AO91" s="24" t="s">
        <v>1590</v>
      </c>
      <c r="AP91" s="24">
        <v>39720</v>
      </c>
      <c r="AQ91" s="24" t="s">
        <v>12</v>
      </c>
      <c r="AR91" s="24" t="s">
        <v>12</v>
      </c>
      <c r="AS91" s="24" t="s">
        <v>1591</v>
      </c>
      <c r="AT91" s="24"/>
    </row>
    <row r="92" spans="1:46" s="23" customFormat="1" ht="15" customHeight="1">
      <c r="A92" s="11">
        <v>90</v>
      </c>
      <c r="B92" s="12">
        <v>5754</v>
      </c>
      <c r="C92" s="12" t="s">
        <v>271</v>
      </c>
      <c r="D92" s="11" t="s">
        <v>85</v>
      </c>
      <c r="E92" s="13" t="s">
        <v>1592</v>
      </c>
      <c r="F92" s="11" t="s">
        <v>1593</v>
      </c>
      <c r="G92" s="12" t="s">
        <v>1594</v>
      </c>
      <c r="H92" s="24" t="s">
        <v>1385</v>
      </c>
      <c r="I92" s="13" t="s">
        <v>1595</v>
      </c>
      <c r="J92" s="13" t="s">
        <v>1596</v>
      </c>
      <c r="K92" s="24" t="s">
        <v>1597</v>
      </c>
      <c r="L92" s="29" t="s">
        <v>1598</v>
      </c>
      <c r="M92" s="13" t="s">
        <v>248</v>
      </c>
      <c r="N92" s="13" t="s">
        <v>1599</v>
      </c>
      <c r="O92" s="13" t="s">
        <v>3</v>
      </c>
      <c r="P92" s="12" t="s">
        <v>1600</v>
      </c>
      <c r="Q92" s="24" t="s">
        <v>1601</v>
      </c>
      <c r="R92" s="12">
        <v>39593</v>
      </c>
      <c r="S92" s="13" t="s">
        <v>3</v>
      </c>
      <c r="T92" s="12" t="s">
        <v>1600</v>
      </c>
      <c r="U92" s="24" t="s">
        <v>1601</v>
      </c>
      <c r="V92" s="12">
        <v>39593</v>
      </c>
      <c r="W92" s="13" t="s">
        <v>544</v>
      </c>
      <c r="X92" s="13" t="s">
        <v>1602</v>
      </c>
      <c r="Y92" s="13" t="s">
        <v>546</v>
      </c>
      <c r="Z92" s="24" t="s">
        <v>547</v>
      </c>
      <c r="AA92" s="24" t="s">
        <v>1603</v>
      </c>
      <c r="AB92" s="24"/>
      <c r="AC92" s="24"/>
      <c r="AD92" s="24"/>
      <c r="AE92" s="24" t="s">
        <v>321</v>
      </c>
      <c r="AF92" s="24"/>
      <c r="AG92" s="24"/>
      <c r="AH92" s="24"/>
      <c r="AI92" s="24"/>
      <c r="AJ92" s="24"/>
      <c r="AK92" s="24" t="s">
        <v>322</v>
      </c>
      <c r="AL92" s="24" t="s">
        <v>1604</v>
      </c>
      <c r="AM92" s="24" t="s">
        <v>1605</v>
      </c>
      <c r="AN92" s="24">
        <v>42812</v>
      </c>
      <c r="AO92" s="24" t="s">
        <v>1606</v>
      </c>
      <c r="AP92" s="24">
        <v>39594</v>
      </c>
      <c r="AQ92" s="24" t="s">
        <v>342</v>
      </c>
      <c r="AR92" s="24" t="s">
        <v>291</v>
      </c>
      <c r="AS92" s="24" t="s">
        <v>291</v>
      </c>
      <c r="AT92" s="24"/>
    </row>
    <row r="93" spans="1:46" s="23" customFormat="1" ht="15" customHeight="1">
      <c r="A93" s="11">
        <v>91</v>
      </c>
      <c r="B93" s="12">
        <v>8989</v>
      </c>
      <c r="C93" s="12" t="s">
        <v>271</v>
      </c>
      <c r="D93" s="11" t="s">
        <v>86</v>
      </c>
      <c r="E93" s="13" t="s">
        <v>1607</v>
      </c>
      <c r="F93" s="11" t="s">
        <v>1608</v>
      </c>
      <c r="G93" s="12" t="s">
        <v>1609</v>
      </c>
      <c r="H93" s="24" t="s">
        <v>1385</v>
      </c>
      <c r="I93" s="13" t="s">
        <v>1610</v>
      </c>
      <c r="J93" s="13" t="s">
        <v>1611</v>
      </c>
      <c r="K93" s="24" t="s">
        <v>1612</v>
      </c>
      <c r="L93" s="29" t="s">
        <v>1613</v>
      </c>
      <c r="M93" s="13" t="s">
        <v>248</v>
      </c>
      <c r="N93" s="13" t="s">
        <v>1614</v>
      </c>
      <c r="O93" s="13" t="s">
        <v>4</v>
      </c>
      <c r="P93" s="12" t="s">
        <v>1615</v>
      </c>
      <c r="Q93" s="24" t="s">
        <v>1616</v>
      </c>
      <c r="R93" s="12">
        <v>438110</v>
      </c>
      <c r="S93" s="24"/>
      <c r="T93" s="24"/>
      <c r="U93" s="24"/>
      <c r="V93" s="24" t="s">
        <v>283</v>
      </c>
      <c r="W93" s="24"/>
      <c r="X93" s="24"/>
      <c r="Y93" s="24"/>
      <c r="Z93" s="24"/>
      <c r="AA93" s="24"/>
      <c r="AB93" s="13" t="s">
        <v>4</v>
      </c>
      <c r="AC93" s="12" t="s">
        <v>1615</v>
      </c>
      <c r="AD93" s="24" t="s">
        <v>1616</v>
      </c>
      <c r="AE93" s="12">
        <v>438110</v>
      </c>
      <c r="AF93" s="13" t="s">
        <v>284</v>
      </c>
      <c r="AG93" s="13" t="s">
        <v>1617</v>
      </c>
      <c r="AH93" s="13" t="s">
        <v>286</v>
      </c>
      <c r="AI93" s="24" t="s">
        <v>287</v>
      </c>
      <c r="AJ93" s="24">
        <v>144</v>
      </c>
      <c r="AK93" s="24" t="s">
        <v>1618</v>
      </c>
      <c r="AL93" s="24" t="s">
        <v>1619</v>
      </c>
      <c r="AM93" s="24" t="s">
        <v>1620</v>
      </c>
      <c r="AN93" s="24">
        <v>32214</v>
      </c>
      <c r="AO93" s="24" t="s">
        <v>1615</v>
      </c>
      <c r="AP93" s="24">
        <v>438116</v>
      </c>
      <c r="AQ93" s="24" t="s">
        <v>4</v>
      </c>
      <c r="AR93" s="24" t="s">
        <v>291</v>
      </c>
      <c r="AS93" s="24" t="s">
        <v>291</v>
      </c>
      <c r="AT93" s="24"/>
    </row>
    <row r="94" spans="1:46" s="23" customFormat="1" ht="15" customHeight="1">
      <c r="A94" s="11">
        <v>92</v>
      </c>
      <c r="B94" s="12">
        <v>5763</v>
      </c>
      <c r="C94" s="12" t="s">
        <v>271</v>
      </c>
      <c r="D94" s="11" t="s">
        <v>94</v>
      </c>
      <c r="E94" s="13" t="s">
        <v>1621</v>
      </c>
      <c r="F94" s="11" t="s">
        <v>1622</v>
      </c>
      <c r="G94" s="12" t="s">
        <v>1623</v>
      </c>
      <c r="H94" s="24" t="s">
        <v>1385</v>
      </c>
      <c r="I94" s="13" t="s">
        <v>1624</v>
      </c>
      <c r="J94" s="13" t="s">
        <v>1625</v>
      </c>
      <c r="K94" s="24" t="s">
        <v>1626</v>
      </c>
      <c r="L94" s="29" t="s">
        <v>1627</v>
      </c>
      <c r="M94" s="13" t="s">
        <v>248</v>
      </c>
      <c r="N94" s="13" t="s">
        <v>1628</v>
      </c>
      <c r="O94" s="13" t="s">
        <v>3</v>
      </c>
      <c r="P94" s="12" t="s">
        <v>1629</v>
      </c>
      <c r="Q94" s="24" t="s">
        <v>1630</v>
      </c>
      <c r="R94" s="12">
        <v>39589</v>
      </c>
      <c r="S94" s="13" t="s">
        <v>3</v>
      </c>
      <c r="T94" s="12" t="s">
        <v>1629</v>
      </c>
      <c r="U94" s="24" t="s">
        <v>1630</v>
      </c>
      <c r="V94" s="12">
        <v>39589</v>
      </c>
      <c r="W94" s="13" t="s">
        <v>544</v>
      </c>
      <c r="X94" s="13" t="s">
        <v>1631</v>
      </c>
      <c r="Y94" s="13" t="s">
        <v>546</v>
      </c>
      <c r="Z94" s="24" t="s">
        <v>547</v>
      </c>
      <c r="AA94" s="24" t="s">
        <v>1632</v>
      </c>
      <c r="AB94" s="24"/>
      <c r="AC94" s="24"/>
      <c r="AD94" s="24"/>
      <c r="AE94" s="24" t="s">
        <v>321</v>
      </c>
      <c r="AF94" s="24"/>
      <c r="AG94" s="24"/>
      <c r="AH94" s="24"/>
      <c r="AI94" s="24"/>
      <c r="AJ94" s="24"/>
      <c r="AK94" s="24" t="s">
        <v>322</v>
      </c>
      <c r="AL94" s="24" t="s">
        <v>1633</v>
      </c>
      <c r="AM94" s="24" t="s">
        <v>1634</v>
      </c>
      <c r="AN94" s="24">
        <v>40206</v>
      </c>
      <c r="AO94" s="24" t="s">
        <v>1635</v>
      </c>
      <c r="AP94" s="24">
        <v>39590</v>
      </c>
      <c r="AQ94" s="24" t="s">
        <v>12</v>
      </c>
      <c r="AR94" s="24" t="s">
        <v>12</v>
      </c>
      <c r="AS94" s="24" t="s">
        <v>1636</v>
      </c>
      <c r="AT94" s="24"/>
    </row>
    <row r="95" spans="1:46" s="23" customFormat="1" ht="15" customHeight="1">
      <c r="A95" s="11">
        <v>93</v>
      </c>
      <c r="B95" s="12">
        <v>5777</v>
      </c>
      <c r="C95" s="12" t="s">
        <v>271</v>
      </c>
      <c r="D95" s="11" t="s">
        <v>92</v>
      </c>
      <c r="E95" s="13" t="s">
        <v>1637</v>
      </c>
      <c r="F95" s="11" t="s">
        <v>1638</v>
      </c>
      <c r="G95" s="12" t="s">
        <v>1639</v>
      </c>
      <c r="H95" s="24" t="s">
        <v>1385</v>
      </c>
      <c r="I95" s="13" t="s">
        <v>1640</v>
      </c>
      <c r="J95" s="13" t="s">
        <v>1641</v>
      </c>
      <c r="K95" s="24" t="s">
        <v>1642</v>
      </c>
      <c r="L95" s="13" t="s">
        <v>1643</v>
      </c>
      <c r="M95" s="13"/>
      <c r="N95" s="13" t="s">
        <v>1644</v>
      </c>
      <c r="O95" s="13" t="s">
        <v>3</v>
      </c>
      <c r="P95" s="12" t="s">
        <v>1645</v>
      </c>
      <c r="Q95" s="24" t="s">
        <v>1630</v>
      </c>
      <c r="R95" s="12">
        <v>39771</v>
      </c>
      <c r="S95" s="13" t="s">
        <v>3</v>
      </c>
      <c r="T95" s="12" t="s">
        <v>1645</v>
      </c>
      <c r="U95" s="24" t="s">
        <v>1630</v>
      </c>
      <c r="V95" s="12">
        <v>39771</v>
      </c>
      <c r="W95" s="13" t="s">
        <v>544</v>
      </c>
      <c r="X95" s="13" t="s">
        <v>1646</v>
      </c>
      <c r="Y95" s="13" t="s">
        <v>546</v>
      </c>
      <c r="Z95" s="24" t="s">
        <v>547</v>
      </c>
      <c r="AA95" s="24" t="s">
        <v>1647</v>
      </c>
      <c r="AB95" s="24"/>
      <c r="AC95" s="24"/>
      <c r="AD95" s="24"/>
      <c r="AE95" s="24" t="s">
        <v>321</v>
      </c>
      <c r="AF95" s="24"/>
      <c r="AG95" s="24"/>
      <c r="AH95" s="24"/>
      <c r="AI95" s="24"/>
      <c r="AJ95" s="24"/>
      <c r="AK95" s="24" t="s">
        <v>322</v>
      </c>
      <c r="AL95" s="24" t="s">
        <v>1648</v>
      </c>
      <c r="AM95" s="24" t="s">
        <v>1649</v>
      </c>
      <c r="AN95" s="24">
        <v>44345</v>
      </c>
      <c r="AO95" s="24" t="s">
        <v>1650</v>
      </c>
      <c r="AP95" s="24">
        <v>39772</v>
      </c>
      <c r="AQ95" s="24" t="s">
        <v>12</v>
      </c>
      <c r="AR95" s="24" t="s">
        <v>12</v>
      </c>
      <c r="AS95" s="24" t="s">
        <v>1651</v>
      </c>
      <c r="AT95" s="24"/>
    </row>
    <row r="96" spans="1:46" s="23" customFormat="1" ht="15" customHeight="1">
      <c r="A96" s="11">
        <v>94</v>
      </c>
      <c r="B96" s="12">
        <v>8988</v>
      </c>
      <c r="C96" s="12" t="s">
        <v>271</v>
      </c>
      <c r="D96" s="11" t="s">
        <v>93</v>
      </c>
      <c r="E96" s="13" t="s">
        <v>1652</v>
      </c>
      <c r="F96" s="11" t="s">
        <v>1653</v>
      </c>
      <c r="G96" s="12" t="s">
        <v>1654</v>
      </c>
      <c r="H96" s="24" t="s">
        <v>1385</v>
      </c>
      <c r="I96" s="13" t="s">
        <v>1655</v>
      </c>
      <c r="J96" s="13" t="s">
        <v>1656</v>
      </c>
      <c r="K96" s="24" t="s">
        <v>1657</v>
      </c>
      <c r="L96" s="29" t="s">
        <v>1658</v>
      </c>
      <c r="M96" s="13" t="s">
        <v>248</v>
      </c>
      <c r="N96" s="13" t="s">
        <v>1659</v>
      </c>
      <c r="O96" s="13" t="s">
        <v>3</v>
      </c>
      <c r="P96" s="12" t="s">
        <v>1660</v>
      </c>
      <c r="Q96" s="24" t="s">
        <v>1630</v>
      </c>
      <c r="R96" s="12">
        <v>33816</v>
      </c>
      <c r="S96" s="13" t="s">
        <v>3</v>
      </c>
      <c r="T96" s="12" t="s">
        <v>1660</v>
      </c>
      <c r="U96" s="24" t="s">
        <v>1630</v>
      </c>
      <c r="V96" s="12">
        <v>33816</v>
      </c>
      <c r="W96" s="13" t="s">
        <v>544</v>
      </c>
      <c r="X96" s="13" t="s">
        <v>1661</v>
      </c>
      <c r="Y96" s="13" t="s">
        <v>546</v>
      </c>
      <c r="Z96" s="24" t="s">
        <v>547</v>
      </c>
      <c r="AA96" s="24" t="s">
        <v>1662</v>
      </c>
      <c r="AB96" s="24"/>
      <c r="AC96" s="24"/>
      <c r="AD96" s="24"/>
      <c r="AE96" s="24" t="s">
        <v>321</v>
      </c>
      <c r="AF96" s="24"/>
      <c r="AG96" s="24"/>
      <c r="AH96" s="24"/>
      <c r="AI96" s="24"/>
      <c r="AJ96" s="24"/>
      <c r="AK96" s="24" t="s">
        <v>322</v>
      </c>
      <c r="AL96" s="24" t="s">
        <v>1663</v>
      </c>
      <c r="AM96" s="24" t="s">
        <v>1664</v>
      </c>
      <c r="AN96" s="24">
        <v>26907</v>
      </c>
      <c r="AO96" s="24" t="s">
        <v>1665</v>
      </c>
      <c r="AP96" s="24">
        <v>39711</v>
      </c>
      <c r="AQ96" s="24" t="s">
        <v>12</v>
      </c>
      <c r="AR96" s="24" t="s">
        <v>12</v>
      </c>
      <c r="AS96" s="24" t="s">
        <v>1666</v>
      </c>
      <c r="AT96" s="24"/>
    </row>
    <row r="97" spans="1:46" s="23" customFormat="1" ht="15" customHeight="1">
      <c r="A97" s="11">
        <v>95</v>
      </c>
      <c r="B97" s="12">
        <v>8058</v>
      </c>
      <c r="C97" s="12"/>
      <c r="D97" s="11" t="s">
        <v>1667</v>
      </c>
      <c r="E97" s="13" t="s">
        <v>1668</v>
      </c>
      <c r="F97" s="11" t="s">
        <v>1669</v>
      </c>
      <c r="G97" s="12" t="s">
        <v>1670</v>
      </c>
      <c r="H97" s="24" t="s">
        <v>1385</v>
      </c>
      <c r="I97" s="11" t="s">
        <v>1671</v>
      </c>
      <c r="J97" s="11" t="s">
        <v>1672</v>
      </c>
      <c r="K97" s="24" t="s">
        <v>1673</v>
      </c>
      <c r="L97" s="11" t="s">
        <v>1674</v>
      </c>
      <c r="M97" s="13"/>
      <c r="N97" s="13" t="s">
        <v>1675</v>
      </c>
      <c r="O97" s="13" t="s">
        <v>3</v>
      </c>
      <c r="P97" s="12" t="s">
        <v>1676</v>
      </c>
      <c r="Q97" s="24" t="s">
        <v>1630</v>
      </c>
      <c r="R97" s="12">
        <v>33985</v>
      </c>
      <c r="S97" s="13" t="s">
        <v>3</v>
      </c>
      <c r="T97" s="12" t="s">
        <v>1676</v>
      </c>
      <c r="U97" s="24" t="s">
        <v>1630</v>
      </c>
      <c r="V97" s="12">
        <v>33985</v>
      </c>
      <c r="W97" s="13" t="s">
        <v>544</v>
      </c>
      <c r="X97" s="13" t="s">
        <v>1677</v>
      </c>
      <c r="Y97" s="13" t="s">
        <v>546</v>
      </c>
      <c r="Z97" s="24" t="s">
        <v>547</v>
      </c>
      <c r="AA97" s="24" t="s">
        <v>1678</v>
      </c>
      <c r="AB97" s="24"/>
      <c r="AC97" s="24"/>
      <c r="AD97" s="24"/>
      <c r="AE97" s="24" t="s">
        <v>321</v>
      </c>
      <c r="AF97" s="24"/>
      <c r="AG97" s="24"/>
      <c r="AH97" s="24"/>
      <c r="AI97" s="24"/>
      <c r="AJ97" s="24"/>
      <c r="AK97" s="24" t="s">
        <v>322</v>
      </c>
      <c r="AL97" s="24" t="s">
        <v>1679</v>
      </c>
      <c r="AM97" s="24" t="s">
        <v>1680</v>
      </c>
      <c r="AN97" s="24">
        <v>34044</v>
      </c>
      <c r="AO97" s="24" t="s">
        <v>1681</v>
      </c>
      <c r="AP97" s="24">
        <v>30103</v>
      </c>
      <c r="AQ97" s="24" t="s">
        <v>342</v>
      </c>
      <c r="AR97" s="24" t="s">
        <v>291</v>
      </c>
      <c r="AS97" s="24" t="s">
        <v>291</v>
      </c>
      <c r="AT97" s="24"/>
    </row>
    <row r="98" spans="1:46" s="23" customFormat="1" ht="15" customHeight="1">
      <c r="A98" s="11">
        <v>96</v>
      </c>
      <c r="B98" s="12">
        <v>8957</v>
      </c>
      <c r="C98" s="12" t="s">
        <v>271</v>
      </c>
      <c r="D98" s="11" t="s">
        <v>97</v>
      </c>
      <c r="E98" s="13" t="s">
        <v>1682</v>
      </c>
      <c r="F98" s="11" t="s">
        <v>1683</v>
      </c>
      <c r="G98" s="12" t="s">
        <v>1684</v>
      </c>
      <c r="H98" s="24" t="s">
        <v>1385</v>
      </c>
      <c r="I98" s="13" t="s">
        <v>1685</v>
      </c>
      <c r="J98" s="13" t="s">
        <v>1686</v>
      </c>
      <c r="K98" s="24" t="s">
        <v>1687</v>
      </c>
      <c r="L98" s="29" t="s">
        <v>1688</v>
      </c>
      <c r="M98" s="13" t="s">
        <v>248</v>
      </c>
      <c r="N98" s="13" t="s">
        <v>1689</v>
      </c>
      <c r="O98" s="13" t="s">
        <v>4</v>
      </c>
      <c r="P98" s="12" t="s">
        <v>1690</v>
      </c>
      <c r="Q98" s="24" t="s">
        <v>1556</v>
      </c>
      <c r="R98" s="12">
        <v>452280</v>
      </c>
      <c r="S98" s="24"/>
      <c r="T98" s="24"/>
      <c r="U98" s="24"/>
      <c r="V98" s="24" t="s">
        <v>283</v>
      </c>
      <c r="W98" s="24"/>
      <c r="X98" s="24"/>
      <c r="Y98" s="24"/>
      <c r="Z98" s="24"/>
      <c r="AA98" s="24"/>
      <c r="AB98" s="13" t="s">
        <v>4</v>
      </c>
      <c r="AC98" s="12" t="s">
        <v>1690</v>
      </c>
      <c r="AD98" s="24" t="s">
        <v>1556</v>
      </c>
      <c r="AE98" s="12">
        <v>452280</v>
      </c>
      <c r="AF98" s="13" t="s">
        <v>284</v>
      </c>
      <c r="AG98" s="13" t="s">
        <v>1691</v>
      </c>
      <c r="AH98" s="13" t="s">
        <v>286</v>
      </c>
      <c r="AI98" s="24" t="s">
        <v>287</v>
      </c>
      <c r="AJ98" s="24">
        <v>262</v>
      </c>
      <c r="AK98" s="24" t="s">
        <v>1692</v>
      </c>
      <c r="AL98" s="24" t="s">
        <v>1693</v>
      </c>
      <c r="AM98" s="24" t="s">
        <v>1694</v>
      </c>
      <c r="AN98" s="24">
        <v>30917</v>
      </c>
      <c r="AO98" s="24" t="s">
        <v>1695</v>
      </c>
      <c r="AP98" s="24">
        <v>452286</v>
      </c>
      <c r="AQ98" s="24" t="s">
        <v>4</v>
      </c>
      <c r="AR98" s="24" t="s">
        <v>291</v>
      </c>
      <c r="AS98" s="24" t="s">
        <v>291</v>
      </c>
      <c r="AT98" s="24"/>
    </row>
    <row r="99" spans="1:46" s="23" customFormat="1" ht="15" customHeight="1">
      <c r="A99" s="11">
        <v>97</v>
      </c>
      <c r="B99" s="12">
        <v>8472</v>
      </c>
      <c r="C99" s="12" t="s">
        <v>271</v>
      </c>
      <c r="D99" s="11" t="s">
        <v>88</v>
      </c>
      <c r="E99" s="13" t="s">
        <v>1696</v>
      </c>
      <c r="F99" s="11" t="s">
        <v>1697</v>
      </c>
      <c r="G99" s="12" t="s">
        <v>1698</v>
      </c>
      <c r="H99" s="24" t="s">
        <v>1385</v>
      </c>
      <c r="I99" s="13" t="s">
        <v>1699</v>
      </c>
      <c r="J99" s="13" t="s">
        <v>1700</v>
      </c>
      <c r="K99" s="24" t="s">
        <v>1701</v>
      </c>
      <c r="L99" s="29" t="s">
        <v>1702</v>
      </c>
      <c r="M99" s="13" t="s">
        <v>248</v>
      </c>
      <c r="N99" s="13" t="s">
        <v>1703</v>
      </c>
      <c r="O99" s="13" t="s">
        <v>4</v>
      </c>
      <c r="P99" s="12" t="s">
        <v>1704</v>
      </c>
      <c r="Q99" s="24" t="s">
        <v>1705</v>
      </c>
      <c r="R99" s="12">
        <v>459130</v>
      </c>
      <c r="S99" s="24"/>
      <c r="T99" s="24"/>
      <c r="U99" s="24"/>
      <c r="V99" s="24" t="s">
        <v>283</v>
      </c>
      <c r="W99" s="24"/>
      <c r="X99" s="24"/>
      <c r="Y99" s="24"/>
      <c r="Z99" s="24"/>
      <c r="AA99" s="24"/>
      <c r="AB99" s="13" t="s">
        <v>4</v>
      </c>
      <c r="AC99" s="12" t="s">
        <v>1704</v>
      </c>
      <c r="AD99" s="24" t="s">
        <v>1705</v>
      </c>
      <c r="AE99" s="12">
        <v>459130</v>
      </c>
      <c r="AF99" s="13" t="s">
        <v>284</v>
      </c>
      <c r="AG99" s="13" t="s">
        <v>1706</v>
      </c>
      <c r="AH99" s="13" t="s">
        <v>286</v>
      </c>
      <c r="AI99" s="24" t="s">
        <v>287</v>
      </c>
      <c r="AJ99" s="24">
        <v>290</v>
      </c>
      <c r="AK99" s="24" t="s">
        <v>1707</v>
      </c>
      <c r="AL99" s="24" t="s">
        <v>1708</v>
      </c>
      <c r="AM99" s="24" t="s">
        <v>1709</v>
      </c>
      <c r="AN99" s="24">
        <v>45553</v>
      </c>
      <c r="AO99" s="24" t="s">
        <v>1704</v>
      </c>
      <c r="AP99" s="24">
        <v>459136</v>
      </c>
      <c r="AQ99" s="24" t="s">
        <v>4</v>
      </c>
      <c r="AR99" s="24" t="s">
        <v>291</v>
      </c>
      <c r="AS99" s="24" t="s">
        <v>291</v>
      </c>
      <c r="AT99" s="24"/>
    </row>
    <row r="100" spans="1:46" s="23" customFormat="1" ht="15" customHeight="1">
      <c r="A100" s="11">
        <v>98</v>
      </c>
      <c r="B100" s="12">
        <v>8904</v>
      </c>
      <c r="C100" s="12" t="s">
        <v>271</v>
      </c>
      <c r="D100" s="11" t="s">
        <v>87</v>
      </c>
      <c r="E100" s="13" t="s">
        <v>1710</v>
      </c>
      <c r="F100" s="11" t="s">
        <v>1711</v>
      </c>
      <c r="G100" s="12" t="s">
        <v>1712</v>
      </c>
      <c r="H100" s="24" t="s">
        <v>1385</v>
      </c>
      <c r="I100" s="13" t="s">
        <v>1713</v>
      </c>
      <c r="J100" s="13" t="s">
        <v>1714</v>
      </c>
      <c r="K100" s="24" t="s">
        <v>1715</v>
      </c>
      <c r="L100" s="13" t="s">
        <v>1716</v>
      </c>
      <c r="M100" s="13"/>
      <c r="N100" s="13" t="s">
        <v>1717</v>
      </c>
      <c r="O100" s="13" t="s">
        <v>3</v>
      </c>
      <c r="P100" s="12" t="s">
        <v>1718</v>
      </c>
      <c r="Q100" s="24" t="s">
        <v>1719</v>
      </c>
      <c r="R100" s="12">
        <v>33818</v>
      </c>
      <c r="S100" s="13" t="s">
        <v>3</v>
      </c>
      <c r="T100" s="12" t="s">
        <v>1718</v>
      </c>
      <c r="U100" s="24" t="s">
        <v>1719</v>
      </c>
      <c r="V100" s="12">
        <v>33818</v>
      </c>
      <c r="W100" s="13" t="s">
        <v>544</v>
      </c>
      <c r="X100" s="13" t="s">
        <v>1720</v>
      </c>
      <c r="Y100" s="13" t="s">
        <v>546</v>
      </c>
      <c r="Z100" s="24" t="s">
        <v>547</v>
      </c>
      <c r="AA100" s="24" t="s">
        <v>1721</v>
      </c>
      <c r="AB100" s="24"/>
      <c r="AC100" s="24"/>
      <c r="AD100" s="24"/>
      <c r="AE100" s="24" t="s">
        <v>321</v>
      </c>
      <c r="AF100" s="24"/>
      <c r="AG100" s="24"/>
      <c r="AH100" s="24"/>
      <c r="AI100" s="24"/>
      <c r="AJ100" s="24"/>
      <c r="AK100" s="24" t="s">
        <v>322</v>
      </c>
      <c r="AL100" s="24" t="s">
        <v>1722</v>
      </c>
      <c r="AM100" s="24" t="s">
        <v>1723</v>
      </c>
      <c r="AN100" s="24">
        <v>38213</v>
      </c>
      <c r="AO100" s="24" t="s">
        <v>1724</v>
      </c>
      <c r="AP100" s="24">
        <v>39717</v>
      </c>
      <c r="AQ100" s="24" t="s">
        <v>12</v>
      </c>
      <c r="AR100" s="24" t="s">
        <v>12</v>
      </c>
      <c r="AS100" s="24" t="s">
        <v>1725</v>
      </c>
      <c r="AT100" s="24"/>
    </row>
    <row r="101" spans="1:46" s="23" customFormat="1" ht="15" customHeight="1">
      <c r="A101" s="11">
        <v>99</v>
      </c>
      <c r="B101" s="12">
        <v>31671</v>
      </c>
      <c r="C101" s="12" t="s">
        <v>271</v>
      </c>
      <c r="D101" s="11" t="s">
        <v>1726</v>
      </c>
      <c r="E101" s="13" t="s">
        <v>1727</v>
      </c>
      <c r="F101" s="11" t="s">
        <v>1728</v>
      </c>
      <c r="G101" s="12" t="s">
        <v>1729</v>
      </c>
      <c r="H101" s="24" t="s">
        <v>1385</v>
      </c>
      <c r="I101" s="13" t="s">
        <v>1730</v>
      </c>
      <c r="J101" s="13" t="s">
        <v>1731</v>
      </c>
      <c r="K101" s="24" t="s">
        <v>1732</v>
      </c>
      <c r="L101" s="13" t="s">
        <v>1731</v>
      </c>
      <c r="M101" s="13"/>
      <c r="N101" s="13" t="s">
        <v>1733</v>
      </c>
      <c r="O101" s="13" t="s">
        <v>4</v>
      </c>
      <c r="P101" s="12" t="s">
        <v>1734</v>
      </c>
      <c r="Q101" s="24" t="s">
        <v>1735</v>
      </c>
      <c r="R101" s="12">
        <v>453060</v>
      </c>
      <c r="S101" s="24"/>
      <c r="T101" s="24"/>
      <c r="U101" s="24"/>
      <c r="V101" s="24" t="s">
        <v>283</v>
      </c>
      <c r="W101" s="24"/>
      <c r="X101" s="24"/>
      <c r="Y101" s="24"/>
      <c r="Z101" s="24"/>
      <c r="AA101" s="24"/>
      <c r="AB101" s="13" t="s">
        <v>4</v>
      </c>
      <c r="AC101" s="12" t="s">
        <v>1734</v>
      </c>
      <c r="AD101" s="24" t="s">
        <v>1735</v>
      </c>
      <c r="AE101" s="12">
        <v>453060</v>
      </c>
      <c r="AF101" s="13" t="s">
        <v>284</v>
      </c>
      <c r="AG101" s="13" t="s">
        <v>1736</v>
      </c>
      <c r="AH101" s="13" t="s">
        <v>286</v>
      </c>
      <c r="AI101" s="24" t="s">
        <v>287</v>
      </c>
      <c r="AJ101" s="24">
        <v>311</v>
      </c>
      <c r="AK101" s="24" t="s">
        <v>1737</v>
      </c>
      <c r="AL101" s="24" t="s">
        <v>1738</v>
      </c>
      <c r="AM101" s="24" t="s">
        <v>1739</v>
      </c>
      <c r="AN101" s="24">
        <v>19117</v>
      </c>
      <c r="AO101" s="24" t="s">
        <v>1734</v>
      </c>
      <c r="AP101" s="24">
        <v>453066</v>
      </c>
      <c r="AQ101" s="24" t="s">
        <v>12</v>
      </c>
      <c r="AR101" s="24" t="s">
        <v>12</v>
      </c>
      <c r="AS101" s="24" t="s">
        <v>1740</v>
      </c>
      <c r="AT101" s="24"/>
    </row>
    <row r="102" spans="1:46" s="23" customFormat="1" ht="15" customHeight="1">
      <c r="A102" s="11">
        <v>100</v>
      </c>
      <c r="B102" s="12">
        <v>8921</v>
      </c>
      <c r="C102" s="12" t="s">
        <v>271</v>
      </c>
      <c r="D102" s="11" t="s">
        <v>90</v>
      </c>
      <c r="E102" s="13" t="s">
        <v>1741</v>
      </c>
      <c r="F102" s="11" t="s">
        <v>1742</v>
      </c>
      <c r="G102" s="12" t="s">
        <v>1743</v>
      </c>
      <c r="H102" s="24" t="s">
        <v>1385</v>
      </c>
      <c r="I102" s="13" t="s">
        <v>1744</v>
      </c>
      <c r="J102" s="13" t="s">
        <v>1745</v>
      </c>
      <c r="K102" s="24" t="s">
        <v>1746</v>
      </c>
      <c r="L102" s="29" t="s">
        <v>1747</v>
      </c>
      <c r="M102" s="13" t="s">
        <v>248</v>
      </c>
      <c r="N102" s="13" t="s">
        <v>1748</v>
      </c>
      <c r="O102" s="13" t="s">
        <v>3</v>
      </c>
      <c r="P102" s="12" t="s">
        <v>1749</v>
      </c>
      <c r="Q102" s="24" t="s">
        <v>1750</v>
      </c>
      <c r="R102" s="12">
        <v>39605</v>
      </c>
      <c r="S102" s="13" t="s">
        <v>3</v>
      </c>
      <c r="T102" s="12" t="s">
        <v>1749</v>
      </c>
      <c r="U102" s="24" t="s">
        <v>1750</v>
      </c>
      <c r="V102" s="12">
        <v>39605</v>
      </c>
      <c r="W102" s="13" t="s">
        <v>544</v>
      </c>
      <c r="X102" s="13" t="s">
        <v>1751</v>
      </c>
      <c r="Y102" s="13" t="s">
        <v>546</v>
      </c>
      <c r="Z102" s="24" t="s">
        <v>547</v>
      </c>
      <c r="AA102" s="24" t="s">
        <v>1752</v>
      </c>
      <c r="AB102" s="24"/>
      <c r="AC102" s="24"/>
      <c r="AD102" s="24"/>
      <c r="AE102" s="24" t="s">
        <v>321</v>
      </c>
      <c r="AF102" s="24"/>
      <c r="AG102" s="24"/>
      <c r="AH102" s="24"/>
      <c r="AI102" s="24"/>
      <c r="AJ102" s="24"/>
      <c r="AK102" s="24" t="s">
        <v>322</v>
      </c>
      <c r="AL102" s="24" t="s">
        <v>1753</v>
      </c>
      <c r="AM102" s="24" t="s">
        <v>1754</v>
      </c>
      <c r="AN102" s="24">
        <v>37446</v>
      </c>
      <c r="AO102" s="24" t="s">
        <v>1755</v>
      </c>
      <c r="AP102" s="24">
        <v>39606</v>
      </c>
      <c r="AQ102" s="24" t="s">
        <v>342</v>
      </c>
      <c r="AR102" s="24" t="s">
        <v>291</v>
      </c>
      <c r="AS102" s="24" t="s">
        <v>291</v>
      </c>
      <c r="AT102" s="24"/>
    </row>
    <row r="103" spans="1:46" s="23" customFormat="1" ht="15" customHeight="1">
      <c r="A103" s="11">
        <v>101</v>
      </c>
      <c r="B103" s="12">
        <v>8979</v>
      </c>
      <c r="C103" s="12" t="s">
        <v>271</v>
      </c>
      <c r="D103" s="11" t="s">
        <v>91</v>
      </c>
      <c r="E103" s="13" t="s">
        <v>1756</v>
      </c>
      <c r="F103" s="11" t="s">
        <v>1757</v>
      </c>
      <c r="G103" s="12" t="s">
        <v>1758</v>
      </c>
      <c r="H103" s="24" t="s">
        <v>1385</v>
      </c>
      <c r="I103" s="13" t="s">
        <v>1759</v>
      </c>
      <c r="J103" s="13" t="s">
        <v>1760</v>
      </c>
      <c r="K103" s="24" t="s">
        <v>1761</v>
      </c>
      <c r="L103" s="29" t="s">
        <v>1762</v>
      </c>
      <c r="M103" s="13" t="s">
        <v>248</v>
      </c>
      <c r="N103" s="13" t="s">
        <v>1763</v>
      </c>
      <c r="O103" s="13" t="s">
        <v>4</v>
      </c>
      <c r="P103" s="12" t="s">
        <v>1764</v>
      </c>
      <c r="Q103" s="24" t="s">
        <v>1630</v>
      </c>
      <c r="R103" s="12">
        <v>454460</v>
      </c>
      <c r="S103" s="24"/>
      <c r="T103" s="24"/>
      <c r="U103" s="24"/>
      <c r="V103" s="24" t="s">
        <v>283</v>
      </c>
      <c r="W103" s="24"/>
      <c r="X103" s="24"/>
      <c r="Y103" s="24"/>
      <c r="Z103" s="24"/>
      <c r="AA103" s="24"/>
      <c r="AB103" s="13" t="s">
        <v>4</v>
      </c>
      <c r="AC103" s="12" t="s">
        <v>1764</v>
      </c>
      <c r="AD103" s="24" t="s">
        <v>1630</v>
      </c>
      <c r="AE103" s="12">
        <v>454460</v>
      </c>
      <c r="AF103" s="13" t="s">
        <v>284</v>
      </c>
      <c r="AG103" s="13" t="s">
        <v>1765</v>
      </c>
      <c r="AH103" s="13" t="s">
        <v>286</v>
      </c>
      <c r="AI103" s="24" t="s">
        <v>287</v>
      </c>
      <c r="AJ103" s="24">
        <v>123</v>
      </c>
      <c r="AK103" s="24" t="s">
        <v>1766</v>
      </c>
      <c r="AL103" s="24" t="s">
        <v>1767</v>
      </c>
      <c r="AM103" s="24" t="s">
        <v>1768</v>
      </c>
      <c r="AN103" s="24">
        <v>18984</v>
      </c>
      <c r="AO103" s="25" t="s">
        <v>1544</v>
      </c>
      <c r="AP103" s="24">
        <v>454466</v>
      </c>
      <c r="AQ103" s="24" t="s">
        <v>12</v>
      </c>
      <c r="AR103" s="24" t="s">
        <v>12</v>
      </c>
      <c r="AS103" s="24" t="s">
        <v>1769</v>
      </c>
      <c r="AT103" s="25" t="s">
        <v>1770</v>
      </c>
    </row>
    <row r="104" spans="1:46" s="23" customFormat="1" ht="15" customHeight="1">
      <c r="A104" s="11">
        <v>102</v>
      </c>
      <c r="B104" s="12">
        <v>8922</v>
      </c>
      <c r="C104" s="12" t="s">
        <v>271</v>
      </c>
      <c r="D104" s="11" t="s">
        <v>89</v>
      </c>
      <c r="E104" s="13" t="s">
        <v>1771</v>
      </c>
      <c r="F104" s="11" t="s">
        <v>1772</v>
      </c>
      <c r="G104" s="12" t="s">
        <v>1773</v>
      </c>
      <c r="H104" s="24" t="s">
        <v>1385</v>
      </c>
      <c r="I104" s="13" t="s">
        <v>1774</v>
      </c>
      <c r="J104" s="13" t="s">
        <v>1775</v>
      </c>
      <c r="K104" s="24" t="s">
        <v>1776</v>
      </c>
      <c r="L104" s="29" t="s">
        <v>1777</v>
      </c>
      <c r="M104" s="13" t="s">
        <v>248</v>
      </c>
      <c r="N104" s="13" t="s">
        <v>1778</v>
      </c>
      <c r="O104" s="13" t="s">
        <v>3</v>
      </c>
      <c r="P104" s="12" t="s">
        <v>1779</v>
      </c>
      <c r="Q104" s="24" t="s">
        <v>1780</v>
      </c>
      <c r="R104" s="12">
        <v>33817</v>
      </c>
      <c r="S104" s="13" t="s">
        <v>3</v>
      </c>
      <c r="T104" s="12" t="s">
        <v>1779</v>
      </c>
      <c r="U104" s="24" t="s">
        <v>1780</v>
      </c>
      <c r="V104" s="12">
        <v>33817</v>
      </c>
      <c r="W104" s="13" t="s">
        <v>544</v>
      </c>
      <c r="X104" s="13" t="s">
        <v>1781</v>
      </c>
      <c r="Y104" s="13" t="s">
        <v>546</v>
      </c>
      <c r="Z104" s="24" t="s">
        <v>547</v>
      </c>
      <c r="AA104" s="24" t="s">
        <v>1782</v>
      </c>
      <c r="AB104" s="24"/>
      <c r="AC104" s="24"/>
      <c r="AD104" s="24"/>
      <c r="AE104" s="24" t="s">
        <v>321</v>
      </c>
      <c r="AF104" s="24"/>
      <c r="AG104" s="24"/>
      <c r="AH104" s="24"/>
      <c r="AI104" s="24"/>
      <c r="AJ104" s="24"/>
      <c r="AK104" s="24" t="s">
        <v>322</v>
      </c>
      <c r="AL104" s="24" t="s">
        <v>1783</v>
      </c>
      <c r="AM104" s="24" t="s">
        <v>1784</v>
      </c>
      <c r="AN104" s="24">
        <v>37058</v>
      </c>
      <c r="AO104" s="24" t="s">
        <v>1785</v>
      </c>
      <c r="AP104" s="24">
        <v>39714</v>
      </c>
      <c r="AQ104" s="24" t="s">
        <v>12</v>
      </c>
      <c r="AR104" s="24" t="s">
        <v>12</v>
      </c>
      <c r="AS104" s="24" t="s">
        <v>1786</v>
      </c>
      <c r="AT104" s="24"/>
    </row>
    <row r="105" spans="1:46" s="23" customFormat="1" ht="15" customHeight="1">
      <c r="A105" s="11">
        <v>103</v>
      </c>
      <c r="B105" s="12">
        <v>728</v>
      </c>
      <c r="C105" s="12" t="s">
        <v>271</v>
      </c>
      <c r="D105" s="11" t="s">
        <v>106</v>
      </c>
      <c r="E105" s="13" t="s">
        <v>1787</v>
      </c>
      <c r="F105" s="11" t="s">
        <v>1788</v>
      </c>
      <c r="G105" s="12" t="s">
        <v>1789</v>
      </c>
      <c r="H105" s="24" t="s">
        <v>1790</v>
      </c>
      <c r="I105" s="13" t="s">
        <v>1791</v>
      </c>
      <c r="J105" s="13" t="s">
        <v>1792</v>
      </c>
      <c r="K105" s="24" t="s">
        <v>1793</v>
      </c>
      <c r="L105" s="29" t="s">
        <v>1794</v>
      </c>
      <c r="M105" s="13" t="s">
        <v>248</v>
      </c>
      <c r="N105" s="13" t="s">
        <v>1795</v>
      </c>
      <c r="O105" s="13" t="s">
        <v>4</v>
      </c>
      <c r="P105" s="12" t="s">
        <v>1796</v>
      </c>
      <c r="Q105" s="24" t="s">
        <v>1797</v>
      </c>
      <c r="R105" s="12">
        <v>458150</v>
      </c>
      <c r="S105" s="24"/>
      <c r="T105" s="24"/>
      <c r="U105" s="24"/>
      <c r="V105" s="24" t="s">
        <v>283</v>
      </c>
      <c r="W105" s="24"/>
      <c r="X105" s="24"/>
      <c r="Y105" s="24"/>
      <c r="Z105" s="24"/>
      <c r="AA105" s="24"/>
      <c r="AB105" s="13" t="s">
        <v>4</v>
      </c>
      <c r="AC105" s="12" t="s">
        <v>1796</v>
      </c>
      <c r="AD105" s="24" t="s">
        <v>1797</v>
      </c>
      <c r="AE105" s="12">
        <v>458150</v>
      </c>
      <c r="AF105" s="13" t="s">
        <v>284</v>
      </c>
      <c r="AG105" s="13" t="s">
        <v>1798</v>
      </c>
      <c r="AH105" s="13" t="s">
        <v>286</v>
      </c>
      <c r="AI105" s="24" t="s">
        <v>287</v>
      </c>
      <c r="AJ105" s="24">
        <v>195</v>
      </c>
      <c r="AK105" s="24" t="s">
        <v>1799</v>
      </c>
      <c r="AL105" s="24" t="s">
        <v>1800</v>
      </c>
      <c r="AM105" s="24" t="s">
        <v>1801</v>
      </c>
      <c r="AN105" s="24">
        <v>31635</v>
      </c>
      <c r="AO105" s="24" t="s">
        <v>1796</v>
      </c>
      <c r="AP105" s="24">
        <v>458156</v>
      </c>
      <c r="AQ105" s="24" t="s">
        <v>4</v>
      </c>
      <c r="AR105" s="24" t="s">
        <v>291</v>
      </c>
      <c r="AS105" s="24" t="s">
        <v>291</v>
      </c>
      <c r="AT105" s="24"/>
    </row>
    <row r="106" spans="1:46" s="23" customFormat="1" ht="15" customHeight="1">
      <c r="A106" s="11">
        <v>104</v>
      </c>
      <c r="B106" s="12">
        <v>2021</v>
      </c>
      <c r="C106" s="12" t="s">
        <v>271</v>
      </c>
      <c r="D106" s="11" t="s">
        <v>105</v>
      </c>
      <c r="E106" s="13" t="s">
        <v>1802</v>
      </c>
      <c r="F106" s="11" t="s">
        <v>1803</v>
      </c>
      <c r="G106" s="12" t="s">
        <v>1804</v>
      </c>
      <c r="H106" s="24" t="s">
        <v>1790</v>
      </c>
      <c r="I106" s="13" t="s">
        <v>1805</v>
      </c>
      <c r="J106" s="13" t="s">
        <v>1806</v>
      </c>
      <c r="K106" s="24" t="s">
        <v>1807</v>
      </c>
      <c r="L106" s="29" t="s">
        <v>1808</v>
      </c>
      <c r="M106" s="13" t="s">
        <v>248</v>
      </c>
      <c r="N106" s="13" t="s">
        <v>1809</v>
      </c>
      <c r="O106" s="13" t="s">
        <v>3</v>
      </c>
      <c r="P106" s="12" t="s">
        <v>1810</v>
      </c>
      <c r="Q106" s="24" t="s">
        <v>1811</v>
      </c>
      <c r="R106" s="12">
        <v>94672</v>
      </c>
      <c r="S106" s="13" t="s">
        <v>3</v>
      </c>
      <c r="T106" s="12" t="s">
        <v>1810</v>
      </c>
      <c r="U106" s="24" t="s">
        <v>1811</v>
      </c>
      <c r="V106" s="12">
        <v>94672</v>
      </c>
      <c r="W106" s="13" t="s">
        <v>544</v>
      </c>
      <c r="X106" s="13" t="s">
        <v>1812</v>
      </c>
      <c r="Y106" s="13" t="s">
        <v>546</v>
      </c>
      <c r="Z106" s="24" t="s">
        <v>547</v>
      </c>
      <c r="AA106" s="24" t="s">
        <v>1813</v>
      </c>
      <c r="AB106" s="24"/>
      <c r="AC106" s="24"/>
      <c r="AD106" s="24"/>
      <c r="AE106" s="24" t="s">
        <v>321</v>
      </c>
      <c r="AF106" s="24"/>
      <c r="AG106" s="24"/>
      <c r="AH106" s="24"/>
      <c r="AI106" s="24"/>
      <c r="AJ106" s="24"/>
      <c r="AK106" s="24" t="s">
        <v>322</v>
      </c>
      <c r="AL106" s="24" t="s">
        <v>1814</v>
      </c>
      <c r="AM106" s="24" t="s">
        <v>1815</v>
      </c>
      <c r="AN106" s="24">
        <v>33859</v>
      </c>
      <c r="AO106" s="24" t="s">
        <v>1816</v>
      </c>
      <c r="AP106" s="24">
        <v>94673</v>
      </c>
      <c r="AQ106" s="24" t="s">
        <v>12</v>
      </c>
      <c r="AR106" s="24" t="s">
        <v>12</v>
      </c>
      <c r="AS106" s="24" t="s">
        <v>1817</v>
      </c>
      <c r="AT106" s="24"/>
    </row>
    <row r="107" spans="1:46" s="23" customFormat="1" ht="15" customHeight="1">
      <c r="A107" s="11">
        <v>105</v>
      </c>
      <c r="B107" s="12">
        <v>9307</v>
      </c>
      <c r="C107" s="12" t="s">
        <v>271</v>
      </c>
      <c r="D107" s="11" t="s">
        <v>104</v>
      </c>
      <c r="E107" s="13" t="s">
        <v>1818</v>
      </c>
      <c r="F107" s="11" t="s">
        <v>1819</v>
      </c>
      <c r="G107" s="12" t="s">
        <v>1820</v>
      </c>
      <c r="H107" s="24" t="s">
        <v>1790</v>
      </c>
      <c r="I107" s="13" t="s">
        <v>1821</v>
      </c>
      <c r="J107" s="13" t="s">
        <v>1822</v>
      </c>
      <c r="K107" s="24" t="s">
        <v>1823</v>
      </c>
      <c r="L107" s="29" t="s">
        <v>1824</v>
      </c>
      <c r="M107" s="13" t="s">
        <v>248</v>
      </c>
      <c r="N107" s="13" t="s">
        <v>1825</v>
      </c>
      <c r="O107" s="13" t="s">
        <v>4</v>
      </c>
      <c r="P107" s="12" t="s">
        <v>1826</v>
      </c>
      <c r="Q107" s="24" t="s">
        <v>1827</v>
      </c>
      <c r="R107" s="12">
        <v>137070</v>
      </c>
      <c r="S107" s="24"/>
      <c r="T107" s="24"/>
      <c r="U107" s="24"/>
      <c r="V107" s="24" t="s">
        <v>283</v>
      </c>
      <c r="W107" s="24"/>
      <c r="X107" s="24"/>
      <c r="Y107" s="24"/>
      <c r="Z107" s="24"/>
      <c r="AA107" s="24"/>
      <c r="AB107" s="13" t="s">
        <v>4</v>
      </c>
      <c r="AC107" s="12" t="s">
        <v>1826</v>
      </c>
      <c r="AD107" s="24" t="s">
        <v>1827</v>
      </c>
      <c r="AE107" s="12">
        <v>137070</v>
      </c>
      <c r="AF107" s="13" t="s">
        <v>284</v>
      </c>
      <c r="AG107" s="13" t="s">
        <v>1828</v>
      </c>
      <c r="AH107" s="13" t="s">
        <v>286</v>
      </c>
      <c r="AI107" s="24" t="s">
        <v>287</v>
      </c>
      <c r="AJ107" s="24">
        <v>149</v>
      </c>
      <c r="AK107" s="24" t="s">
        <v>1829</v>
      </c>
      <c r="AL107" s="24" t="s">
        <v>1830</v>
      </c>
      <c r="AM107" s="24" t="s">
        <v>1831</v>
      </c>
      <c r="AN107" s="24">
        <v>35631</v>
      </c>
      <c r="AO107" s="24" t="s">
        <v>1826</v>
      </c>
      <c r="AP107" s="24">
        <v>137076</v>
      </c>
      <c r="AQ107" s="24" t="s">
        <v>4</v>
      </c>
      <c r="AR107" s="24" t="s">
        <v>291</v>
      </c>
      <c r="AS107" s="24" t="s">
        <v>291</v>
      </c>
      <c r="AT107" s="24"/>
    </row>
    <row r="108" spans="1:46" s="23" customFormat="1" ht="15" customHeight="1">
      <c r="A108" s="11">
        <v>106</v>
      </c>
      <c r="B108" s="12">
        <v>1609</v>
      </c>
      <c r="C108" s="12" t="s">
        <v>271</v>
      </c>
      <c r="D108" s="11" t="s">
        <v>100</v>
      </c>
      <c r="E108" s="13" t="s">
        <v>1832</v>
      </c>
      <c r="F108" s="11" t="s">
        <v>1833</v>
      </c>
      <c r="G108" s="12" t="s">
        <v>1834</v>
      </c>
      <c r="H108" s="24" t="s">
        <v>1790</v>
      </c>
      <c r="I108" s="13" t="s">
        <v>1835</v>
      </c>
      <c r="J108" s="13" t="s">
        <v>1836</v>
      </c>
      <c r="K108" s="24" t="s">
        <v>1837</v>
      </c>
      <c r="L108" s="29" t="s">
        <v>1838</v>
      </c>
      <c r="M108" s="13" t="s">
        <v>248</v>
      </c>
      <c r="N108" s="13" t="s">
        <v>1839</v>
      </c>
      <c r="O108" s="13" t="s">
        <v>4</v>
      </c>
      <c r="P108" s="12" t="s">
        <v>1840</v>
      </c>
      <c r="Q108" s="24" t="s">
        <v>1841</v>
      </c>
      <c r="R108" s="12">
        <v>145190</v>
      </c>
      <c r="S108" s="24"/>
      <c r="T108" s="24"/>
      <c r="U108" s="24"/>
      <c r="V108" s="24" t="s">
        <v>283</v>
      </c>
      <c r="W108" s="24"/>
      <c r="X108" s="24"/>
      <c r="Y108" s="24"/>
      <c r="Z108" s="24"/>
      <c r="AA108" s="24"/>
      <c r="AB108" s="13" t="s">
        <v>4</v>
      </c>
      <c r="AC108" s="12" t="s">
        <v>1840</v>
      </c>
      <c r="AD108" s="24" t="s">
        <v>1841</v>
      </c>
      <c r="AE108" s="12">
        <v>145190</v>
      </c>
      <c r="AF108" s="13" t="s">
        <v>284</v>
      </c>
      <c r="AG108" s="13" t="s">
        <v>1842</v>
      </c>
      <c r="AH108" s="13" t="s">
        <v>286</v>
      </c>
      <c r="AI108" s="24" t="s">
        <v>287</v>
      </c>
      <c r="AJ108" s="24">
        <v>202</v>
      </c>
      <c r="AK108" s="24" t="s">
        <v>1843</v>
      </c>
      <c r="AL108" s="24" t="s">
        <v>1844</v>
      </c>
      <c r="AM108" s="24" t="s">
        <v>1845</v>
      </c>
      <c r="AN108" s="24">
        <v>33023</v>
      </c>
      <c r="AO108" s="24" t="s">
        <v>1840</v>
      </c>
      <c r="AP108" s="24">
        <v>145196</v>
      </c>
      <c r="AQ108" s="24" t="s">
        <v>12</v>
      </c>
      <c r="AR108" s="24" t="s">
        <v>12</v>
      </c>
      <c r="AS108" s="24" t="s">
        <v>1846</v>
      </c>
      <c r="AT108" s="24"/>
    </row>
    <row r="109" spans="1:46" s="23" customFormat="1" ht="15" customHeight="1">
      <c r="A109" s="11">
        <v>107</v>
      </c>
      <c r="B109" s="14">
        <v>31835</v>
      </c>
      <c r="C109" s="14" t="s">
        <v>271</v>
      </c>
      <c r="D109" s="17" t="s">
        <v>214</v>
      </c>
      <c r="E109" s="13" t="s">
        <v>1847</v>
      </c>
      <c r="F109" s="16" t="s">
        <v>1848</v>
      </c>
      <c r="G109" s="14" t="s">
        <v>1849</v>
      </c>
      <c r="H109" s="24" t="s">
        <v>1790</v>
      </c>
      <c r="I109" s="15" t="s">
        <v>1850</v>
      </c>
      <c r="J109" s="15" t="s">
        <v>1851</v>
      </c>
      <c r="K109" s="24" t="s">
        <v>1852</v>
      </c>
      <c r="L109" s="15"/>
      <c r="M109" s="13"/>
      <c r="N109" s="13" t="s">
        <v>1853</v>
      </c>
      <c r="O109" s="15" t="s">
        <v>3</v>
      </c>
      <c r="P109" s="14" t="s">
        <v>1854</v>
      </c>
      <c r="Q109" s="24" t="s">
        <v>1855</v>
      </c>
      <c r="R109" s="14">
        <v>50571</v>
      </c>
      <c r="S109" s="15" t="s">
        <v>3</v>
      </c>
      <c r="T109" s="14" t="s">
        <v>1854</v>
      </c>
      <c r="U109" s="24" t="s">
        <v>1855</v>
      </c>
      <c r="V109" s="14">
        <v>50571</v>
      </c>
      <c r="W109" s="15" t="s">
        <v>544</v>
      </c>
      <c r="X109" s="15" t="s">
        <v>1856</v>
      </c>
      <c r="Y109" s="15" t="s">
        <v>546</v>
      </c>
      <c r="Z109" s="25" t="s">
        <v>547</v>
      </c>
      <c r="AA109" s="25" t="s">
        <v>1857</v>
      </c>
      <c r="AB109" s="24"/>
      <c r="AC109" s="24"/>
      <c r="AD109" s="24"/>
      <c r="AE109" s="24" t="s">
        <v>321</v>
      </c>
      <c r="AF109" s="24"/>
      <c r="AG109" s="24"/>
      <c r="AH109" s="24"/>
      <c r="AI109" s="25"/>
      <c r="AJ109" s="24"/>
      <c r="AK109" s="24" t="s">
        <v>322</v>
      </c>
      <c r="AL109" s="24" t="s">
        <v>1858</v>
      </c>
      <c r="AM109" s="24" t="s">
        <v>1859</v>
      </c>
      <c r="AN109" s="24">
        <v>47328</v>
      </c>
      <c r="AO109" s="24" t="s">
        <v>1860</v>
      </c>
      <c r="AP109" s="24">
        <v>50572</v>
      </c>
      <c r="AQ109" s="24" t="s">
        <v>12</v>
      </c>
      <c r="AR109" s="24" t="s">
        <v>291</v>
      </c>
      <c r="AS109" s="24" t="s">
        <v>291</v>
      </c>
      <c r="AT109" s="24"/>
    </row>
    <row r="110" spans="1:46" s="23" customFormat="1" ht="15" customHeight="1">
      <c r="A110" s="11">
        <v>108</v>
      </c>
      <c r="B110" s="12">
        <v>1623</v>
      </c>
      <c r="C110" s="12" t="s">
        <v>271</v>
      </c>
      <c r="D110" s="11" t="s">
        <v>109</v>
      </c>
      <c r="E110" s="13" t="s">
        <v>1861</v>
      </c>
      <c r="F110" s="11" t="s">
        <v>1862</v>
      </c>
      <c r="G110" s="12" t="s">
        <v>1863</v>
      </c>
      <c r="H110" s="24" t="s">
        <v>1790</v>
      </c>
      <c r="I110" s="13" t="s">
        <v>1864</v>
      </c>
      <c r="J110" s="13" t="s">
        <v>1865</v>
      </c>
      <c r="K110" s="24" t="s">
        <v>1866</v>
      </c>
      <c r="L110" s="29" t="s">
        <v>1867</v>
      </c>
      <c r="M110" s="13" t="s">
        <v>248</v>
      </c>
      <c r="N110" s="13" t="s">
        <v>1868</v>
      </c>
      <c r="O110" s="13" t="s">
        <v>3</v>
      </c>
      <c r="P110" s="12" t="s">
        <v>1869</v>
      </c>
      <c r="Q110" s="24" t="s">
        <v>1870</v>
      </c>
      <c r="R110" s="12">
        <v>49420</v>
      </c>
      <c r="S110" s="13" t="s">
        <v>3</v>
      </c>
      <c r="T110" s="12" t="s">
        <v>1869</v>
      </c>
      <c r="U110" s="24" t="s">
        <v>1870</v>
      </c>
      <c r="V110" s="12">
        <v>49420</v>
      </c>
      <c r="W110" s="13" t="s">
        <v>544</v>
      </c>
      <c r="X110" s="13" t="s">
        <v>1871</v>
      </c>
      <c r="Y110" s="13" t="s">
        <v>546</v>
      </c>
      <c r="Z110" s="24" t="s">
        <v>547</v>
      </c>
      <c r="AA110" s="24" t="s">
        <v>1872</v>
      </c>
      <c r="AB110" s="24"/>
      <c r="AC110" s="24"/>
      <c r="AD110" s="24"/>
      <c r="AE110" s="24" t="s">
        <v>321</v>
      </c>
      <c r="AF110" s="24"/>
      <c r="AG110" s="24"/>
      <c r="AH110" s="24"/>
      <c r="AI110" s="24"/>
      <c r="AJ110" s="24"/>
      <c r="AK110" s="24" t="s">
        <v>322</v>
      </c>
      <c r="AL110" s="24" t="s">
        <v>1873</v>
      </c>
      <c r="AM110" s="24" t="s">
        <v>1874</v>
      </c>
      <c r="AN110" s="24">
        <v>35680</v>
      </c>
      <c r="AO110" s="24" t="s">
        <v>1875</v>
      </c>
      <c r="AP110" s="24">
        <v>49421</v>
      </c>
      <c r="AQ110" s="24" t="s">
        <v>342</v>
      </c>
      <c r="AR110" s="24" t="s">
        <v>291</v>
      </c>
      <c r="AS110" s="24" t="s">
        <v>291</v>
      </c>
      <c r="AT110" s="24"/>
    </row>
    <row r="111" spans="1:46" s="23" customFormat="1" ht="15" customHeight="1">
      <c r="A111" s="11">
        <v>109</v>
      </c>
      <c r="B111" s="12">
        <v>1638</v>
      </c>
      <c r="C111" s="12" t="s">
        <v>271</v>
      </c>
      <c r="D111" s="11" t="s">
        <v>112</v>
      </c>
      <c r="E111" s="13" t="s">
        <v>1876</v>
      </c>
      <c r="F111" s="11" t="s">
        <v>1877</v>
      </c>
      <c r="G111" s="12" t="s">
        <v>1878</v>
      </c>
      <c r="H111" s="24" t="s">
        <v>1790</v>
      </c>
      <c r="I111" s="13" t="s">
        <v>1879</v>
      </c>
      <c r="J111" s="13" t="s">
        <v>1880</v>
      </c>
      <c r="K111" s="24" t="s">
        <v>1881</v>
      </c>
      <c r="L111" s="29" t="s">
        <v>1882</v>
      </c>
      <c r="M111" s="13" t="s">
        <v>248</v>
      </c>
      <c r="N111" s="13" t="s">
        <v>1883</v>
      </c>
      <c r="O111" s="13" t="s">
        <v>4</v>
      </c>
      <c r="P111" s="12" t="s">
        <v>1884</v>
      </c>
      <c r="Q111" s="24" t="s">
        <v>1885</v>
      </c>
      <c r="R111" s="12">
        <v>516370</v>
      </c>
      <c r="S111" s="24"/>
      <c r="T111" s="24"/>
      <c r="U111" s="24"/>
      <c r="V111" s="24" t="s">
        <v>283</v>
      </c>
      <c r="W111" s="24"/>
      <c r="X111" s="24"/>
      <c r="Y111" s="24"/>
      <c r="Z111" s="24"/>
      <c r="AA111" s="24"/>
      <c r="AB111" s="13" t="s">
        <v>4</v>
      </c>
      <c r="AC111" s="12" t="s">
        <v>1884</v>
      </c>
      <c r="AD111" s="24" t="s">
        <v>1885</v>
      </c>
      <c r="AE111" s="12">
        <v>516370</v>
      </c>
      <c r="AF111" s="13" t="s">
        <v>284</v>
      </c>
      <c r="AG111" s="13" t="s">
        <v>1886</v>
      </c>
      <c r="AH111" s="13" t="s">
        <v>286</v>
      </c>
      <c r="AI111" s="24" t="s">
        <v>287</v>
      </c>
      <c r="AJ111" s="24">
        <v>225</v>
      </c>
      <c r="AK111" s="24" t="s">
        <v>1887</v>
      </c>
      <c r="AL111" s="24" t="s">
        <v>1888</v>
      </c>
      <c r="AM111" s="24" t="s">
        <v>1889</v>
      </c>
      <c r="AN111" s="24">
        <v>6758</v>
      </c>
      <c r="AO111" s="25" t="s">
        <v>1544</v>
      </c>
      <c r="AP111" s="24">
        <v>516376</v>
      </c>
      <c r="AQ111" s="24" t="s">
        <v>4</v>
      </c>
      <c r="AR111" s="24" t="s">
        <v>291</v>
      </c>
      <c r="AS111" s="24" t="s">
        <v>291</v>
      </c>
      <c r="AT111" s="25" t="s">
        <v>1890</v>
      </c>
    </row>
    <row r="112" spans="1:46" s="23" customFormat="1" ht="15" customHeight="1">
      <c r="A112" s="11">
        <v>110</v>
      </c>
      <c r="B112" s="12">
        <v>9305</v>
      </c>
      <c r="C112" s="12" t="s">
        <v>271</v>
      </c>
      <c r="D112" s="11" t="s">
        <v>111</v>
      </c>
      <c r="E112" s="13" t="s">
        <v>1891</v>
      </c>
      <c r="F112" s="11" t="s">
        <v>1892</v>
      </c>
      <c r="G112" s="12" t="s">
        <v>1893</v>
      </c>
      <c r="H112" s="24" t="s">
        <v>1790</v>
      </c>
      <c r="I112" s="13" t="s">
        <v>1894</v>
      </c>
      <c r="J112" s="13" t="s">
        <v>1895</v>
      </c>
      <c r="K112" s="24" t="s">
        <v>1896</v>
      </c>
      <c r="L112" s="13" t="s">
        <v>1897</v>
      </c>
      <c r="M112" s="13"/>
      <c r="N112" s="13" t="s">
        <v>1898</v>
      </c>
      <c r="O112" s="13" t="s">
        <v>4</v>
      </c>
      <c r="P112" s="12" t="s">
        <v>1899</v>
      </c>
      <c r="Q112" s="24" t="s">
        <v>1900</v>
      </c>
      <c r="R112" s="12">
        <v>522370</v>
      </c>
      <c r="S112" s="24"/>
      <c r="T112" s="24"/>
      <c r="U112" s="24"/>
      <c r="V112" s="24" t="s">
        <v>283</v>
      </c>
      <c r="W112" s="24"/>
      <c r="X112" s="24"/>
      <c r="Y112" s="24"/>
      <c r="Z112" s="24"/>
      <c r="AA112" s="24"/>
      <c r="AB112" s="13" t="s">
        <v>4</v>
      </c>
      <c r="AC112" s="12" t="s">
        <v>1899</v>
      </c>
      <c r="AD112" s="24" t="s">
        <v>1900</v>
      </c>
      <c r="AE112" s="12">
        <v>522370</v>
      </c>
      <c r="AF112" s="13" t="s">
        <v>284</v>
      </c>
      <c r="AG112" s="13" t="s">
        <v>1901</v>
      </c>
      <c r="AH112" s="13" t="s">
        <v>286</v>
      </c>
      <c r="AI112" s="24" t="s">
        <v>287</v>
      </c>
      <c r="AJ112" s="24">
        <v>220</v>
      </c>
      <c r="AK112" s="24" t="s">
        <v>1902</v>
      </c>
      <c r="AL112" s="24" t="s">
        <v>1903</v>
      </c>
      <c r="AM112" s="24" t="s">
        <v>1904</v>
      </c>
      <c r="AN112" s="24">
        <v>43265</v>
      </c>
      <c r="AO112" s="24" t="s">
        <v>1899</v>
      </c>
      <c r="AP112" s="24">
        <v>522376</v>
      </c>
      <c r="AQ112" s="24" t="s">
        <v>12</v>
      </c>
      <c r="AR112" s="24" t="s">
        <v>12</v>
      </c>
      <c r="AS112" s="24" t="s">
        <v>1905</v>
      </c>
      <c r="AT112" s="24"/>
    </row>
    <row r="113" spans="1:46" s="23" customFormat="1" ht="15" customHeight="1">
      <c r="A113" s="11">
        <v>111</v>
      </c>
      <c r="B113" s="12">
        <v>1954</v>
      </c>
      <c r="C113" s="12" t="s">
        <v>271</v>
      </c>
      <c r="D113" s="11" t="s">
        <v>237</v>
      </c>
      <c r="E113" s="13" t="s">
        <v>1906</v>
      </c>
      <c r="F113" s="11" t="s">
        <v>1907</v>
      </c>
      <c r="G113" s="12" t="s">
        <v>1908</v>
      </c>
      <c r="H113" s="24" t="s">
        <v>1790</v>
      </c>
      <c r="I113" s="13" t="s">
        <v>1909</v>
      </c>
      <c r="J113" s="13" t="s">
        <v>1910</v>
      </c>
      <c r="K113" s="24" t="s">
        <v>1911</v>
      </c>
      <c r="L113" s="13" t="s">
        <v>1912</v>
      </c>
      <c r="M113" s="13"/>
      <c r="N113" s="13" t="s">
        <v>1913</v>
      </c>
      <c r="O113" s="13" t="s">
        <v>4</v>
      </c>
      <c r="P113" s="12" t="s">
        <v>1914</v>
      </c>
      <c r="Q113" s="24" t="s">
        <v>1915</v>
      </c>
      <c r="R113" s="12">
        <v>512620</v>
      </c>
      <c r="S113" s="24"/>
      <c r="T113" s="24"/>
      <c r="U113" s="24"/>
      <c r="V113" s="24" t="s">
        <v>283</v>
      </c>
      <c r="W113" s="24"/>
      <c r="X113" s="24"/>
      <c r="Y113" s="24"/>
      <c r="Z113" s="24"/>
      <c r="AA113" s="24"/>
      <c r="AB113" s="13" t="s">
        <v>4</v>
      </c>
      <c r="AC113" s="12" t="s">
        <v>1914</v>
      </c>
      <c r="AD113" s="24" t="s">
        <v>1915</v>
      </c>
      <c r="AE113" s="12">
        <v>512620</v>
      </c>
      <c r="AF113" s="13" t="s">
        <v>284</v>
      </c>
      <c r="AG113" s="13" t="s">
        <v>1916</v>
      </c>
      <c r="AH113" s="13" t="s">
        <v>286</v>
      </c>
      <c r="AI113" s="24" t="s">
        <v>287</v>
      </c>
      <c r="AJ113" s="24">
        <v>266</v>
      </c>
      <c r="AK113" s="24" t="s">
        <v>1917</v>
      </c>
      <c r="AL113" s="24" t="s">
        <v>1918</v>
      </c>
      <c r="AM113" s="24" t="s">
        <v>1919</v>
      </c>
      <c r="AN113" s="24">
        <v>33860</v>
      </c>
      <c r="AO113" s="24" t="s">
        <v>1914</v>
      </c>
      <c r="AP113" s="24">
        <v>512626</v>
      </c>
      <c r="AQ113" s="24" t="s">
        <v>4</v>
      </c>
      <c r="AR113" s="24" t="s">
        <v>291</v>
      </c>
      <c r="AS113" s="24" t="s">
        <v>291</v>
      </c>
      <c r="AT113" s="24"/>
    </row>
    <row r="114" spans="1:46" s="23" customFormat="1" ht="15" customHeight="1">
      <c r="A114" s="11">
        <v>112</v>
      </c>
      <c r="B114" s="12">
        <v>8416</v>
      </c>
      <c r="C114" s="12" t="s">
        <v>271</v>
      </c>
      <c r="D114" s="11" t="s">
        <v>110</v>
      </c>
      <c r="E114" s="13" t="s">
        <v>1920</v>
      </c>
      <c r="F114" s="11" t="s">
        <v>1921</v>
      </c>
      <c r="G114" s="12" t="s">
        <v>1908</v>
      </c>
      <c r="H114" s="24" t="s">
        <v>1790</v>
      </c>
      <c r="I114" s="13" t="s">
        <v>1922</v>
      </c>
      <c r="J114" s="13" t="s">
        <v>1923</v>
      </c>
      <c r="K114" s="24" t="s">
        <v>1924</v>
      </c>
      <c r="L114" s="13" t="s">
        <v>1925</v>
      </c>
      <c r="M114" s="13"/>
      <c r="N114" s="13" t="s">
        <v>1926</v>
      </c>
      <c r="O114" s="13" t="s">
        <v>3</v>
      </c>
      <c r="P114" s="12" t="s">
        <v>1927</v>
      </c>
      <c r="Q114" s="24" t="s">
        <v>1915</v>
      </c>
      <c r="R114" s="12">
        <v>50417</v>
      </c>
      <c r="S114" s="13" t="s">
        <v>3</v>
      </c>
      <c r="T114" s="12" t="s">
        <v>1927</v>
      </c>
      <c r="U114" s="24" t="s">
        <v>1915</v>
      </c>
      <c r="V114" s="12">
        <v>50417</v>
      </c>
      <c r="W114" s="13" t="s">
        <v>544</v>
      </c>
      <c r="X114" s="13" t="s">
        <v>1928</v>
      </c>
      <c r="Y114" s="13" t="s">
        <v>546</v>
      </c>
      <c r="Z114" s="24" t="s">
        <v>547</v>
      </c>
      <c r="AA114" s="24" t="s">
        <v>1929</v>
      </c>
      <c r="AB114" s="24"/>
      <c r="AC114" s="24"/>
      <c r="AD114" s="24"/>
      <c r="AE114" s="24" t="s">
        <v>321</v>
      </c>
      <c r="AF114" s="24"/>
      <c r="AG114" s="24"/>
      <c r="AH114" s="24"/>
      <c r="AI114" s="24"/>
      <c r="AJ114" s="24"/>
      <c r="AK114" s="24" t="s">
        <v>322</v>
      </c>
      <c r="AL114" s="24" t="s">
        <v>1930</v>
      </c>
      <c r="AM114" s="24" t="s">
        <v>1931</v>
      </c>
      <c r="AN114" s="24">
        <v>44516</v>
      </c>
      <c r="AO114" s="24" t="s">
        <v>1932</v>
      </c>
      <c r="AP114" s="24">
        <v>49505</v>
      </c>
      <c r="AQ114" s="24" t="s">
        <v>342</v>
      </c>
      <c r="AR114" s="24" t="s">
        <v>291</v>
      </c>
      <c r="AS114" s="24" t="s">
        <v>291</v>
      </c>
      <c r="AT114" s="24"/>
    </row>
    <row r="115" spans="1:46" s="23" customFormat="1" ht="15" customHeight="1">
      <c r="A115" s="11">
        <v>113</v>
      </c>
      <c r="B115" s="12">
        <v>1956</v>
      </c>
      <c r="C115" s="12" t="s">
        <v>271</v>
      </c>
      <c r="D115" s="11" t="s">
        <v>113</v>
      </c>
      <c r="E115" s="13" t="s">
        <v>1933</v>
      </c>
      <c r="F115" s="11" t="s">
        <v>1934</v>
      </c>
      <c r="G115" s="12" t="s">
        <v>1935</v>
      </c>
      <c r="H115" s="24" t="s">
        <v>1790</v>
      </c>
      <c r="I115" s="13" t="s">
        <v>1936</v>
      </c>
      <c r="J115" s="13" t="s">
        <v>1937</v>
      </c>
      <c r="K115" s="24" t="s">
        <v>1938</v>
      </c>
      <c r="L115" s="29" t="s">
        <v>1939</v>
      </c>
      <c r="M115" s="13" t="s">
        <v>248</v>
      </c>
      <c r="N115" s="13" t="s">
        <v>1940</v>
      </c>
      <c r="O115" s="13" t="s">
        <v>3</v>
      </c>
      <c r="P115" s="12" t="s">
        <v>1941</v>
      </c>
      <c r="Q115" s="24" t="s">
        <v>1900</v>
      </c>
      <c r="R115" s="12">
        <v>50668</v>
      </c>
      <c r="S115" s="13" t="s">
        <v>3</v>
      </c>
      <c r="T115" s="12" t="s">
        <v>1941</v>
      </c>
      <c r="U115" s="24" t="s">
        <v>1900</v>
      </c>
      <c r="V115" s="12">
        <v>50668</v>
      </c>
      <c r="W115" s="13" t="s">
        <v>544</v>
      </c>
      <c r="X115" s="13" t="s">
        <v>1942</v>
      </c>
      <c r="Y115" s="13" t="s">
        <v>546</v>
      </c>
      <c r="Z115" s="24" t="s">
        <v>547</v>
      </c>
      <c r="AA115" s="24" t="s">
        <v>1943</v>
      </c>
      <c r="AB115" s="24"/>
      <c r="AC115" s="24"/>
      <c r="AD115" s="24"/>
      <c r="AE115" s="24" t="s">
        <v>321</v>
      </c>
      <c r="AF115" s="24"/>
      <c r="AG115" s="24"/>
      <c r="AH115" s="24"/>
      <c r="AI115" s="24"/>
      <c r="AJ115" s="24"/>
      <c r="AK115" s="24" t="s">
        <v>322</v>
      </c>
      <c r="AL115" s="24" t="s">
        <v>1944</v>
      </c>
      <c r="AM115" s="24" t="s">
        <v>1945</v>
      </c>
      <c r="AN115" s="24">
        <v>43266</v>
      </c>
      <c r="AO115" s="24" t="s">
        <v>1946</v>
      </c>
      <c r="AP115" s="24">
        <v>50669</v>
      </c>
      <c r="AQ115" s="24" t="s">
        <v>3</v>
      </c>
      <c r="AR115" s="24" t="s">
        <v>291</v>
      </c>
      <c r="AS115" s="24" t="s">
        <v>291</v>
      </c>
      <c r="AT115" s="24"/>
    </row>
    <row r="116" spans="1:46" s="23" customFormat="1" ht="15" customHeight="1">
      <c r="A116" s="11">
        <v>114</v>
      </c>
      <c r="B116" s="12">
        <v>9308</v>
      </c>
      <c r="C116" s="12" t="s">
        <v>271</v>
      </c>
      <c r="D116" s="11" t="s">
        <v>114</v>
      </c>
      <c r="E116" s="13" t="s">
        <v>1947</v>
      </c>
      <c r="F116" s="11" t="s">
        <v>1948</v>
      </c>
      <c r="G116" s="12" t="s">
        <v>1949</v>
      </c>
      <c r="H116" s="24" t="s">
        <v>1790</v>
      </c>
      <c r="I116" s="13" t="s">
        <v>1950</v>
      </c>
      <c r="J116" s="13" t="s">
        <v>1951</v>
      </c>
      <c r="K116" s="24" t="s">
        <v>1952</v>
      </c>
      <c r="L116" s="29" t="s">
        <v>1953</v>
      </c>
      <c r="M116" s="13" t="s">
        <v>248</v>
      </c>
      <c r="N116" s="13" t="s">
        <v>1954</v>
      </c>
      <c r="O116" s="13" t="s">
        <v>4</v>
      </c>
      <c r="P116" s="12" t="s">
        <v>1955</v>
      </c>
      <c r="Q116" s="24" t="s">
        <v>1855</v>
      </c>
      <c r="R116" s="12">
        <v>515470</v>
      </c>
      <c r="S116" s="24"/>
      <c r="T116" s="24"/>
      <c r="U116" s="24"/>
      <c r="V116" s="24" t="s">
        <v>283</v>
      </c>
      <c r="W116" s="24"/>
      <c r="X116" s="24"/>
      <c r="Y116" s="24"/>
      <c r="Z116" s="24"/>
      <c r="AA116" s="24"/>
      <c r="AB116" s="13" t="s">
        <v>4</v>
      </c>
      <c r="AC116" s="12" t="s">
        <v>1955</v>
      </c>
      <c r="AD116" s="24" t="s">
        <v>1855</v>
      </c>
      <c r="AE116" s="12">
        <v>515470</v>
      </c>
      <c r="AF116" s="13" t="s">
        <v>284</v>
      </c>
      <c r="AG116" s="13" t="s">
        <v>1956</v>
      </c>
      <c r="AH116" s="13" t="s">
        <v>286</v>
      </c>
      <c r="AI116" s="24" t="s">
        <v>287</v>
      </c>
      <c r="AJ116" s="24">
        <v>213</v>
      </c>
      <c r="AK116" s="24" t="s">
        <v>1957</v>
      </c>
      <c r="AL116" s="24" t="s">
        <v>1958</v>
      </c>
      <c r="AM116" s="24" t="s">
        <v>1959</v>
      </c>
      <c r="AN116" s="24">
        <v>6821</v>
      </c>
      <c r="AO116" s="24" t="s">
        <v>1955</v>
      </c>
      <c r="AP116" s="24">
        <v>515476</v>
      </c>
      <c r="AQ116" s="24" t="s">
        <v>4</v>
      </c>
      <c r="AR116" s="24" t="s">
        <v>291</v>
      </c>
      <c r="AS116" s="24" t="s">
        <v>291</v>
      </c>
      <c r="AT116" s="24"/>
    </row>
    <row r="117" spans="1:46" s="23" customFormat="1" ht="15" customHeight="1">
      <c r="A117" s="11">
        <v>115</v>
      </c>
      <c r="B117" s="12">
        <v>5583</v>
      </c>
      <c r="C117" s="12" t="s">
        <v>271</v>
      </c>
      <c r="D117" s="11" t="s">
        <v>101</v>
      </c>
      <c r="E117" s="13" t="s">
        <v>1960</v>
      </c>
      <c r="F117" s="11" t="s">
        <v>1961</v>
      </c>
      <c r="G117" s="12" t="s">
        <v>1962</v>
      </c>
      <c r="H117" s="24" t="s">
        <v>1790</v>
      </c>
      <c r="I117" s="13" t="s">
        <v>1963</v>
      </c>
      <c r="J117" s="13" t="s">
        <v>1964</v>
      </c>
      <c r="K117" s="24" t="s">
        <v>1965</v>
      </c>
      <c r="L117" s="29" t="s">
        <v>1966</v>
      </c>
      <c r="M117" s="13" t="s">
        <v>248</v>
      </c>
      <c r="N117" s="13" t="s">
        <v>1967</v>
      </c>
      <c r="O117" s="13" t="s">
        <v>4</v>
      </c>
      <c r="P117" s="12" t="s">
        <v>1968</v>
      </c>
      <c r="Q117" s="24" t="s">
        <v>1969</v>
      </c>
      <c r="R117" s="12">
        <v>169110</v>
      </c>
      <c r="S117" s="24"/>
      <c r="T117" s="24"/>
      <c r="U117" s="24"/>
      <c r="V117" s="24" t="s">
        <v>283</v>
      </c>
      <c r="W117" s="24"/>
      <c r="X117" s="24"/>
      <c r="Y117" s="24"/>
      <c r="Z117" s="24"/>
      <c r="AA117" s="24"/>
      <c r="AB117" s="13" t="s">
        <v>4</v>
      </c>
      <c r="AC117" s="12" t="s">
        <v>1968</v>
      </c>
      <c r="AD117" s="24" t="s">
        <v>1969</v>
      </c>
      <c r="AE117" s="12">
        <v>169110</v>
      </c>
      <c r="AF117" s="13" t="s">
        <v>284</v>
      </c>
      <c r="AG117" s="13" t="s">
        <v>1970</v>
      </c>
      <c r="AH117" s="13" t="s">
        <v>286</v>
      </c>
      <c r="AI117" s="24" t="s">
        <v>287</v>
      </c>
      <c r="AJ117" s="24">
        <v>276</v>
      </c>
      <c r="AK117" s="24" t="s">
        <v>1971</v>
      </c>
      <c r="AL117" s="24" t="s">
        <v>1972</v>
      </c>
      <c r="AM117" s="24" t="s">
        <v>1973</v>
      </c>
      <c r="AN117" s="24">
        <v>44681</v>
      </c>
      <c r="AO117" s="24" t="s">
        <v>1968</v>
      </c>
      <c r="AP117" s="24">
        <v>169116</v>
      </c>
      <c r="AQ117" s="24" t="s">
        <v>12</v>
      </c>
      <c r="AR117" s="24" t="s">
        <v>12</v>
      </c>
      <c r="AS117" s="24" t="s">
        <v>1974</v>
      </c>
      <c r="AT117" s="24"/>
    </row>
    <row r="118" spans="1:46" s="23" customFormat="1" ht="15" customHeight="1">
      <c r="A118" s="11">
        <v>116</v>
      </c>
      <c r="B118" s="12">
        <v>8003</v>
      </c>
      <c r="C118" s="12"/>
      <c r="D118" s="11" t="s">
        <v>1975</v>
      </c>
      <c r="E118" s="13" t="s">
        <v>1976</v>
      </c>
      <c r="F118" s="11" t="s">
        <v>1977</v>
      </c>
      <c r="G118" s="12" t="s">
        <v>1978</v>
      </c>
      <c r="H118" s="24" t="s">
        <v>1790</v>
      </c>
      <c r="I118" s="11" t="s">
        <v>1979</v>
      </c>
      <c r="J118" s="11" t="s">
        <v>1980</v>
      </c>
      <c r="K118" s="24" t="s">
        <v>1981</v>
      </c>
      <c r="L118" s="11" t="s">
        <v>1982</v>
      </c>
      <c r="M118" s="13"/>
      <c r="N118" s="13" t="s">
        <v>1983</v>
      </c>
      <c r="O118" s="13" t="s">
        <v>3</v>
      </c>
      <c r="P118" s="12" t="s">
        <v>1984</v>
      </c>
      <c r="Q118" s="24" t="s">
        <v>1855</v>
      </c>
      <c r="R118" s="12">
        <v>50805</v>
      </c>
      <c r="S118" s="13" t="s">
        <v>3</v>
      </c>
      <c r="T118" s="12" t="s">
        <v>1984</v>
      </c>
      <c r="U118" s="24" t="s">
        <v>1855</v>
      </c>
      <c r="V118" s="12">
        <v>50805</v>
      </c>
      <c r="W118" s="13" t="s">
        <v>544</v>
      </c>
      <c r="X118" s="13" t="s">
        <v>1985</v>
      </c>
      <c r="Y118" s="13" t="s">
        <v>546</v>
      </c>
      <c r="Z118" s="24" t="s">
        <v>547</v>
      </c>
      <c r="AA118" s="24" t="s">
        <v>1986</v>
      </c>
      <c r="AB118" s="24"/>
      <c r="AC118" s="24"/>
      <c r="AD118" s="24"/>
      <c r="AE118" s="24" t="s">
        <v>321</v>
      </c>
      <c r="AF118" s="24"/>
      <c r="AG118" s="24"/>
      <c r="AH118" s="24"/>
      <c r="AI118" s="24"/>
      <c r="AJ118" s="24"/>
      <c r="AK118" s="24" t="s">
        <v>322</v>
      </c>
      <c r="AL118" s="24" t="s">
        <v>1987</v>
      </c>
      <c r="AM118" s="24" t="s">
        <v>1988</v>
      </c>
      <c r="AN118" s="24">
        <v>24090</v>
      </c>
      <c r="AO118" s="24" t="s">
        <v>1989</v>
      </c>
      <c r="AP118" s="24">
        <v>50808</v>
      </c>
      <c r="AQ118" s="24" t="s">
        <v>342</v>
      </c>
      <c r="AR118" s="24" t="s">
        <v>291</v>
      </c>
      <c r="AS118" s="24" t="s">
        <v>291</v>
      </c>
      <c r="AT118" s="24"/>
    </row>
    <row r="119" spans="1:46" s="23" customFormat="1" ht="15" customHeight="1">
      <c r="A119" s="11">
        <v>117</v>
      </c>
      <c r="B119" s="12">
        <v>9353</v>
      </c>
      <c r="C119" s="12" t="s">
        <v>271</v>
      </c>
      <c r="D119" s="11" t="s">
        <v>115</v>
      </c>
      <c r="E119" s="13" t="s">
        <v>1990</v>
      </c>
      <c r="F119" s="11" t="s">
        <v>1991</v>
      </c>
      <c r="G119" s="12" t="s">
        <v>1992</v>
      </c>
      <c r="H119" s="24" t="s">
        <v>1790</v>
      </c>
      <c r="I119" s="13" t="s">
        <v>1993</v>
      </c>
      <c r="J119" s="13" t="s">
        <v>1994</v>
      </c>
      <c r="K119" s="24" t="s">
        <v>1995</v>
      </c>
      <c r="L119" s="29" t="s">
        <v>1996</v>
      </c>
      <c r="M119" s="13" t="s">
        <v>248</v>
      </c>
      <c r="N119" s="13" t="s">
        <v>1997</v>
      </c>
      <c r="O119" s="13" t="s">
        <v>4</v>
      </c>
      <c r="P119" s="12" t="s">
        <v>1998</v>
      </c>
      <c r="Q119" s="24" t="s">
        <v>1999</v>
      </c>
      <c r="R119" s="12">
        <v>511280</v>
      </c>
      <c r="S119" s="24"/>
      <c r="T119" s="24"/>
      <c r="U119" s="24"/>
      <c r="V119" s="24" t="s">
        <v>283</v>
      </c>
      <c r="W119" s="24"/>
      <c r="X119" s="24"/>
      <c r="Y119" s="24"/>
      <c r="Z119" s="24"/>
      <c r="AA119" s="24"/>
      <c r="AB119" s="13" t="s">
        <v>4</v>
      </c>
      <c r="AC119" s="12" t="s">
        <v>1998</v>
      </c>
      <c r="AD119" s="24" t="s">
        <v>1999</v>
      </c>
      <c r="AE119" s="12">
        <v>511280</v>
      </c>
      <c r="AF119" s="13" t="s">
        <v>284</v>
      </c>
      <c r="AG119" s="13" t="s">
        <v>2000</v>
      </c>
      <c r="AH119" s="13" t="s">
        <v>286</v>
      </c>
      <c r="AI119" s="24" t="s">
        <v>287</v>
      </c>
      <c r="AJ119" s="24">
        <v>56</v>
      </c>
      <c r="AK119" s="24" t="s">
        <v>2001</v>
      </c>
      <c r="AL119" s="24" t="s">
        <v>2002</v>
      </c>
      <c r="AM119" s="24" t="s">
        <v>2003</v>
      </c>
      <c r="AN119" s="24">
        <v>37795</v>
      </c>
      <c r="AO119" s="24" t="s">
        <v>1998</v>
      </c>
      <c r="AP119" s="24">
        <v>511286</v>
      </c>
      <c r="AQ119" s="24" t="s">
        <v>12</v>
      </c>
      <c r="AR119" s="24" t="s">
        <v>12</v>
      </c>
      <c r="AS119" s="24" t="s">
        <v>2004</v>
      </c>
      <c r="AT119" s="24"/>
    </row>
    <row r="120" spans="1:46" s="23" customFormat="1" ht="15" customHeight="1">
      <c r="A120" s="11">
        <v>118</v>
      </c>
      <c r="B120" s="12">
        <v>8962</v>
      </c>
      <c r="C120" s="12" t="s">
        <v>271</v>
      </c>
      <c r="D120" s="11" t="s">
        <v>108</v>
      </c>
      <c r="E120" s="13" t="s">
        <v>2005</v>
      </c>
      <c r="F120" s="11" t="s">
        <v>2006</v>
      </c>
      <c r="G120" s="12" t="s">
        <v>2007</v>
      </c>
      <c r="H120" s="24" t="s">
        <v>1790</v>
      </c>
      <c r="I120" s="13" t="s">
        <v>2008</v>
      </c>
      <c r="J120" s="13" t="s">
        <v>2009</v>
      </c>
      <c r="K120" s="24" t="s">
        <v>2010</v>
      </c>
      <c r="L120" s="13" t="s">
        <v>2011</v>
      </c>
      <c r="M120" s="13"/>
      <c r="N120" s="13" t="s">
        <v>2012</v>
      </c>
      <c r="O120" s="13" t="s">
        <v>4</v>
      </c>
      <c r="P120" s="12" t="s">
        <v>2013</v>
      </c>
      <c r="Q120" s="24" t="s">
        <v>2014</v>
      </c>
      <c r="R120" s="12">
        <v>617780</v>
      </c>
      <c r="S120" s="24"/>
      <c r="T120" s="24"/>
      <c r="U120" s="24"/>
      <c r="V120" s="24" t="s">
        <v>283</v>
      </c>
      <c r="W120" s="24"/>
      <c r="X120" s="24"/>
      <c r="Y120" s="24"/>
      <c r="Z120" s="24"/>
      <c r="AA120" s="24"/>
      <c r="AB120" s="13" t="s">
        <v>4</v>
      </c>
      <c r="AC120" s="12" t="s">
        <v>2013</v>
      </c>
      <c r="AD120" s="24" t="s">
        <v>2014</v>
      </c>
      <c r="AE120" s="12">
        <v>617780</v>
      </c>
      <c r="AF120" s="13" t="s">
        <v>284</v>
      </c>
      <c r="AG120" s="13" t="s">
        <v>2015</v>
      </c>
      <c r="AH120" s="13" t="s">
        <v>286</v>
      </c>
      <c r="AI120" s="24" t="s">
        <v>287</v>
      </c>
      <c r="AJ120" s="24">
        <v>185</v>
      </c>
      <c r="AK120" s="24" t="s">
        <v>2016</v>
      </c>
      <c r="AL120" s="24" t="s">
        <v>2017</v>
      </c>
      <c r="AM120" s="24" t="s">
        <v>2018</v>
      </c>
      <c r="AN120" s="24">
        <v>43205</v>
      </c>
      <c r="AO120" s="24" t="s">
        <v>2013</v>
      </c>
      <c r="AP120" s="24">
        <v>617786</v>
      </c>
      <c r="AQ120" s="24" t="s">
        <v>12</v>
      </c>
      <c r="AR120" s="24" t="s">
        <v>12</v>
      </c>
      <c r="AS120" s="24" t="s">
        <v>2019</v>
      </c>
      <c r="AT120" s="24"/>
    </row>
    <row r="121" spans="1:46" s="23" customFormat="1" ht="15" customHeight="1">
      <c r="A121" s="11">
        <v>119</v>
      </c>
      <c r="B121" s="12">
        <v>9259</v>
      </c>
      <c r="C121" s="12" t="s">
        <v>271</v>
      </c>
      <c r="D121" s="11" t="s">
        <v>102</v>
      </c>
      <c r="E121" s="13" t="s">
        <v>2020</v>
      </c>
      <c r="F121" s="11" t="s">
        <v>2021</v>
      </c>
      <c r="G121" s="12" t="s">
        <v>2022</v>
      </c>
      <c r="H121" s="24" t="s">
        <v>1790</v>
      </c>
      <c r="I121" s="13" t="s">
        <v>2023</v>
      </c>
      <c r="J121" s="13" t="s">
        <v>2024</v>
      </c>
      <c r="K121" s="24" t="s">
        <v>2025</v>
      </c>
      <c r="L121" s="29" t="s">
        <v>2026</v>
      </c>
      <c r="M121" s="13" t="s">
        <v>248</v>
      </c>
      <c r="N121" s="13" t="s">
        <v>2027</v>
      </c>
      <c r="O121" s="13" t="s">
        <v>3</v>
      </c>
      <c r="P121" s="12" t="s">
        <v>2028</v>
      </c>
      <c r="Q121" s="24" t="s">
        <v>2029</v>
      </c>
      <c r="R121" s="12">
        <v>96578</v>
      </c>
      <c r="S121" s="13" t="s">
        <v>3</v>
      </c>
      <c r="T121" s="12" t="s">
        <v>2028</v>
      </c>
      <c r="U121" s="24" t="s">
        <v>2029</v>
      </c>
      <c r="V121" s="12">
        <v>96578</v>
      </c>
      <c r="W121" s="13" t="s">
        <v>544</v>
      </c>
      <c r="X121" s="13" t="s">
        <v>2030</v>
      </c>
      <c r="Y121" s="13" t="s">
        <v>546</v>
      </c>
      <c r="Z121" s="24" t="s">
        <v>547</v>
      </c>
      <c r="AA121" s="24" t="s">
        <v>2031</v>
      </c>
      <c r="AB121" s="24"/>
      <c r="AC121" s="24"/>
      <c r="AD121" s="24"/>
      <c r="AE121" s="24" t="s">
        <v>321</v>
      </c>
      <c r="AF121" s="24"/>
      <c r="AG121" s="24"/>
      <c r="AH121" s="24"/>
      <c r="AI121" s="24"/>
      <c r="AJ121" s="24"/>
      <c r="AK121" s="24" t="s">
        <v>322</v>
      </c>
      <c r="AL121" s="24" t="s">
        <v>2032</v>
      </c>
      <c r="AM121" s="24" t="s">
        <v>2033</v>
      </c>
      <c r="AN121" s="24">
        <v>44103</v>
      </c>
      <c r="AO121" s="24" t="s">
        <v>2034</v>
      </c>
      <c r="AP121" s="24">
        <v>96579</v>
      </c>
      <c r="AQ121" s="24" t="s">
        <v>12</v>
      </c>
      <c r="AR121" s="24" t="s">
        <v>12</v>
      </c>
      <c r="AS121" s="24" t="s">
        <v>2035</v>
      </c>
      <c r="AT121" s="24"/>
    </row>
    <row r="122" spans="1:46" s="23" customFormat="1" ht="15" customHeight="1">
      <c r="A122" s="11">
        <v>120</v>
      </c>
      <c r="B122" s="12">
        <v>9359</v>
      </c>
      <c r="C122" s="12" t="s">
        <v>271</v>
      </c>
      <c r="D122" s="11" t="s">
        <v>2036</v>
      </c>
      <c r="E122" s="13" t="s">
        <v>2037</v>
      </c>
      <c r="F122" s="11" t="s">
        <v>2038</v>
      </c>
      <c r="G122" s="12" t="s">
        <v>2039</v>
      </c>
      <c r="H122" s="24" t="s">
        <v>1790</v>
      </c>
      <c r="I122" s="13" t="s">
        <v>2040</v>
      </c>
      <c r="J122" s="13" t="s">
        <v>2041</v>
      </c>
      <c r="K122" s="24" t="s">
        <v>2042</v>
      </c>
      <c r="L122" s="29" t="s">
        <v>2043</v>
      </c>
      <c r="M122" s="13" t="s">
        <v>248</v>
      </c>
      <c r="N122" s="13" t="s">
        <v>2044</v>
      </c>
      <c r="O122" s="13" t="s">
        <v>3</v>
      </c>
      <c r="P122" s="12" t="s">
        <v>2045</v>
      </c>
      <c r="Q122" s="24" t="s">
        <v>2046</v>
      </c>
      <c r="R122" s="12">
        <v>90801</v>
      </c>
      <c r="S122" s="13" t="s">
        <v>3</v>
      </c>
      <c r="T122" s="12" t="s">
        <v>2045</v>
      </c>
      <c r="U122" s="24" t="s">
        <v>2046</v>
      </c>
      <c r="V122" s="12">
        <v>90801</v>
      </c>
      <c r="W122" s="13" t="s">
        <v>544</v>
      </c>
      <c r="X122" s="13" t="s">
        <v>2047</v>
      </c>
      <c r="Y122" s="13" t="s">
        <v>546</v>
      </c>
      <c r="Z122" s="24" t="s">
        <v>547</v>
      </c>
      <c r="AA122" s="24" t="s">
        <v>2048</v>
      </c>
      <c r="AB122" s="24"/>
      <c r="AC122" s="24"/>
      <c r="AD122" s="24"/>
      <c r="AE122" s="24" t="s">
        <v>321</v>
      </c>
      <c r="AF122" s="24"/>
      <c r="AG122" s="24"/>
      <c r="AH122" s="24"/>
      <c r="AI122" s="24"/>
      <c r="AJ122" s="24"/>
      <c r="AK122" s="24" t="s">
        <v>322</v>
      </c>
      <c r="AL122" s="24" t="s">
        <v>2049</v>
      </c>
      <c r="AM122" s="24" t="s">
        <v>2050</v>
      </c>
      <c r="AN122" s="24">
        <v>36256</v>
      </c>
      <c r="AO122" s="24" t="s">
        <v>2051</v>
      </c>
      <c r="AP122" s="24">
        <v>90802</v>
      </c>
      <c r="AQ122" s="24" t="s">
        <v>342</v>
      </c>
      <c r="AR122" s="24" t="s">
        <v>291</v>
      </c>
      <c r="AS122" s="24" t="s">
        <v>291</v>
      </c>
      <c r="AT122" s="24"/>
    </row>
    <row r="123" spans="1:46" s="23" customFormat="1" ht="15" customHeight="1">
      <c r="A123" s="11">
        <v>121</v>
      </c>
      <c r="B123" s="12">
        <v>31701</v>
      </c>
      <c r="C123" s="12" t="s">
        <v>271</v>
      </c>
      <c r="D123" s="11" t="s">
        <v>107</v>
      </c>
      <c r="E123" s="13" t="s">
        <v>2052</v>
      </c>
      <c r="F123" s="11" t="s">
        <v>2053</v>
      </c>
      <c r="G123" s="12" t="s">
        <v>2054</v>
      </c>
      <c r="H123" s="24" t="s">
        <v>1790</v>
      </c>
      <c r="I123" s="13" t="s">
        <v>2055</v>
      </c>
      <c r="J123" s="13" t="s">
        <v>2056</v>
      </c>
      <c r="K123" s="24" t="s">
        <v>2057</v>
      </c>
      <c r="L123" s="13" t="s">
        <v>2058</v>
      </c>
      <c r="M123" s="13"/>
      <c r="N123" s="13" t="s">
        <v>2059</v>
      </c>
      <c r="O123" s="13" t="s">
        <v>3</v>
      </c>
      <c r="P123" s="12" t="s">
        <v>2060</v>
      </c>
      <c r="Q123" s="24" t="s">
        <v>2061</v>
      </c>
      <c r="R123" s="12">
        <v>96746</v>
      </c>
      <c r="S123" s="13" t="s">
        <v>3</v>
      </c>
      <c r="T123" s="12" t="s">
        <v>2060</v>
      </c>
      <c r="U123" s="24" t="s">
        <v>2061</v>
      </c>
      <c r="V123" s="12">
        <v>96746</v>
      </c>
      <c r="W123" s="13" t="s">
        <v>544</v>
      </c>
      <c r="X123" s="13" t="s">
        <v>2062</v>
      </c>
      <c r="Y123" s="13" t="s">
        <v>546</v>
      </c>
      <c r="Z123" s="24" t="s">
        <v>547</v>
      </c>
      <c r="AA123" s="24" t="s">
        <v>2063</v>
      </c>
      <c r="AB123" s="24"/>
      <c r="AC123" s="24"/>
      <c r="AD123" s="24"/>
      <c r="AE123" s="24" t="s">
        <v>321</v>
      </c>
      <c r="AF123" s="24"/>
      <c r="AG123" s="24"/>
      <c r="AH123" s="24"/>
      <c r="AI123" s="24"/>
      <c r="AJ123" s="24"/>
      <c r="AK123" s="24" t="s">
        <v>322</v>
      </c>
      <c r="AL123" s="24" t="s">
        <v>2064</v>
      </c>
      <c r="AM123" s="24" t="s">
        <v>2065</v>
      </c>
      <c r="AN123" s="24">
        <v>40324</v>
      </c>
      <c r="AO123" s="24" t="s">
        <v>2066</v>
      </c>
      <c r="AP123" s="24">
        <v>96747</v>
      </c>
      <c r="AQ123" s="24" t="s">
        <v>12</v>
      </c>
      <c r="AR123" s="24" t="s">
        <v>12</v>
      </c>
      <c r="AS123" s="24" t="s">
        <v>2067</v>
      </c>
      <c r="AT123" s="24"/>
    </row>
    <row r="124" spans="1:46" s="23" customFormat="1" ht="15" customHeight="1">
      <c r="A124" s="11">
        <v>122</v>
      </c>
      <c r="B124" s="12">
        <v>12635</v>
      </c>
      <c r="C124" s="12" t="s">
        <v>271</v>
      </c>
      <c r="D124" s="11" t="s">
        <v>103</v>
      </c>
      <c r="E124" s="13" t="s">
        <v>2068</v>
      </c>
      <c r="F124" s="11" t="s">
        <v>2069</v>
      </c>
      <c r="G124" s="12" t="s">
        <v>2070</v>
      </c>
      <c r="H124" s="24" t="s">
        <v>1790</v>
      </c>
      <c r="I124" s="13" t="s">
        <v>2071</v>
      </c>
      <c r="J124" s="13" t="s">
        <v>2072</v>
      </c>
      <c r="K124" s="24" t="s">
        <v>2073</v>
      </c>
      <c r="L124" s="29" t="s">
        <v>2074</v>
      </c>
      <c r="M124" s="13" t="s">
        <v>248</v>
      </c>
      <c r="N124" s="13" t="s">
        <v>2075</v>
      </c>
      <c r="O124" s="13" t="s">
        <v>4</v>
      </c>
      <c r="P124" s="12" t="s">
        <v>2076</v>
      </c>
      <c r="Q124" s="24" t="s">
        <v>2077</v>
      </c>
      <c r="R124" s="12">
        <v>127100</v>
      </c>
      <c r="S124" s="24"/>
      <c r="T124" s="24"/>
      <c r="U124" s="24"/>
      <c r="V124" s="24" t="s">
        <v>283</v>
      </c>
      <c r="W124" s="24"/>
      <c r="X124" s="24"/>
      <c r="Y124" s="24"/>
      <c r="Z124" s="24"/>
      <c r="AA124" s="24"/>
      <c r="AB124" s="13" t="s">
        <v>4</v>
      </c>
      <c r="AC124" s="12" t="s">
        <v>2076</v>
      </c>
      <c r="AD124" s="24" t="s">
        <v>2077</v>
      </c>
      <c r="AE124" s="12">
        <v>127100</v>
      </c>
      <c r="AF124" s="13" t="s">
        <v>284</v>
      </c>
      <c r="AG124" s="13" t="s">
        <v>2078</v>
      </c>
      <c r="AH124" s="13" t="s">
        <v>286</v>
      </c>
      <c r="AI124" s="24" t="s">
        <v>287</v>
      </c>
      <c r="AJ124" s="24">
        <v>299</v>
      </c>
      <c r="AK124" s="24" t="s">
        <v>2079</v>
      </c>
      <c r="AL124" s="24" t="s">
        <v>2080</v>
      </c>
      <c r="AM124" s="24" t="s">
        <v>2081</v>
      </c>
      <c r="AN124" s="24">
        <v>45882</v>
      </c>
      <c r="AO124" s="24" t="s">
        <v>2076</v>
      </c>
      <c r="AP124" s="24">
        <v>127106</v>
      </c>
      <c r="AQ124" s="24" t="s">
        <v>12</v>
      </c>
      <c r="AR124" s="24" t="s">
        <v>12</v>
      </c>
      <c r="AS124" s="24" t="s">
        <v>2082</v>
      </c>
      <c r="AT124" s="24"/>
    </row>
    <row r="125" spans="1:46" s="23" customFormat="1" ht="15" customHeight="1">
      <c r="A125" s="11">
        <v>123</v>
      </c>
      <c r="B125" s="12">
        <v>598</v>
      </c>
      <c r="C125" s="12" t="s">
        <v>271</v>
      </c>
      <c r="D125" s="18" t="s">
        <v>123</v>
      </c>
      <c r="E125" s="13" t="s">
        <v>2083</v>
      </c>
      <c r="F125" s="11" t="s">
        <v>2084</v>
      </c>
      <c r="G125" s="12" t="s">
        <v>2085</v>
      </c>
      <c r="H125" s="24" t="s">
        <v>2086</v>
      </c>
      <c r="I125" s="13" t="s">
        <v>2087</v>
      </c>
      <c r="J125" s="13" t="s">
        <v>2088</v>
      </c>
      <c r="K125" s="24" t="s">
        <v>2089</v>
      </c>
      <c r="L125" s="29" t="s">
        <v>2090</v>
      </c>
      <c r="M125" s="13" t="s">
        <v>248</v>
      </c>
      <c r="N125" s="13" t="s">
        <v>2091</v>
      </c>
      <c r="O125" s="13" t="s">
        <v>3</v>
      </c>
      <c r="P125" s="12" t="s">
        <v>2092</v>
      </c>
      <c r="Q125" s="24" t="s">
        <v>2093</v>
      </c>
      <c r="R125" s="12">
        <v>53097</v>
      </c>
      <c r="S125" s="13" t="s">
        <v>3</v>
      </c>
      <c r="T125" s="12" t="s">
        <v>2092</v>
      </c>
      <c r="U125" s="24" t="s">
        <v>2093</v>
      </c>
      <c r="V125" s="12">
        <v>53097</v>
      </c>
      <c r="W125" s="13" t="s">
        <v>544</v>
      </c>
      <c r="X125" s="13" t="s">
        <v>2094</v>
      </c>
      <c r="Y125" s="13" t="s">
        <v>546</v>
      </c>
      <c r="Z125" s="24" t="s">
        <v>547</v>
      </c>
      <c r="AA125" s="24" t="s">
        <v>2095</v>
      </c>
      <c r="AB125" s="24"/>
      <c r="AC125" s="24"/>
      <c r="AD125" s="24"/>
      <c r="AE125" s="24" t="s">
        <v>321</v>
      </c>
      <c r="AF125" s="24"/>
      <c r="AG125" s="24"/>
      <c r="AH125" s="24"/>
      <c r="AI125" s="24"/>
      <c r="AJ125" s="24"/>
      <c r="AK125" s="24" t="s">
        <v>322</v>
      </c>
      <c r="AL125" s="24" t="s">
        <v>2096</v>
      </c>
      <c r="AM125" s="24" t="s">
        <v>2097</v>
      </c>
      <c r="AN125" s="24">
        <v>31318</v>
      </c>
      <c r="AO125" s="24" t="s">
        <v>2098</v>
      </c>
      <c r="AP125" s="24">
        <v>53098</v>
      </c>
      <c r="AQ125" s="24" t="s">
        <v>3</v>
      </c>
      <c r="AR125" s="24" t="s">
        <v>291</v>
      </c>
      <c r="AS125" s="24" t="s">
        <v>291</v>
      </c>
      <c r="AT125" s="24"/>
    </row>
    <row r="126" spans="1:46" s="23" customFormat="1" ht="15" customHeight="1">
      <c r="A126" s="11">
        <v>124</v>
      </c>
      <c r="B126" s="12">
        <v>8924</v>
      </c>
      <c r="C126" s="12" t="s">
        <v>271</v>
      </c>
      <c r="D126" s="18" t="s">
        <v>122</v>
      </c>
      <c r="E126" s="13" t="s">
        <v>2099</v>
      </c>
      <c r="F126" s="11" t="s">
        <v>2100</v>
      </c>
      <c r="G126" s="12" t="s">
        <v>2101</v>
      </c>
      <c r="H126" s="24" t="s">
        <v>2086</v>
      </c>
      <c r="I126" s="13" t="s">
        <v>2102</v>
      </c>
      <c r="J126" s="13" t="s">
        <v>2103</v>
      </c>
      <c r="K126" s="24" t="s">
        <v>2104</v>
      </c>
      <c r="L126" s="13" t="s">
        <v>2105</v>
      </c>
      <c r="M126" s="13"/>
      <c r="N126" s="13" t="s">
        <v>2106</v>
      </c>
      <c r="O126" s="13" t="s">
        <v>4</v>
      </c>
      <c r="P126" s="12" t="s">
        <v>2107</v>
      </c>
      <c r="Q126" s="24" t="s">
        <v>2108</v>
      </c>
      <c r="R126" s="12">
        <v>562430</v>
      </c>
      <c r="S126" s="24"/>
      <c r="T126" s="24"/>
      <c r="U126" s="24"/>
      <c r="V126" s="24" t="s">
        <v>283</v>
      </c>
      <c r="W126" s="24"/>
      <c r="X126" s="24"/>
      <c r="Y126" s="24"/>
      <c r="Z126" s="24"/>
      <c r="AA126" s="24"/>
      <c r="AB126" s="13" t="s">
        <v>4</v>
      </c>
      <c r="AC126" s="12" t="s">
        <v>2107</v>
      </c>
      <c r="AD126" s="24" t="s">
        <v>2108</v>
      </c>
      <c r="AE126" s="12">
        <v>562430</v>
      </c>
      <c r="AF126" s="13" t="s">
        <v>284</v>
      </c>
      <c r="AG126" s="13" t="s">
        <v>2109</v>
      </c>
      <c r="AH126" s="13" t="s">
        <v>286</v>
      </c>
      <c r="AI126" s="24" t="s">
        <v>287</v>
      </c>
      <c r="AJ126" s="24">
        <v>267</v>
      </c>
      <c r="AK126" s="24" t="s">
        <v>2110</v>
      </c>
      <c r="AL126" s="24" t="s">
        <v>2111</v>
      </c>
      <c r="AM126" s="24" t="s">
        <v>2112</v>
      </c>
      <c r="AN126" s="24">
        <v>30314</v>
      </c>
      <c r="AO126" s="24" t="s">
        <v>2107</v>
      </c>
      <c r="AP126" s="24">
        <v>562436</v>
      </c>
      <c r="AQ126" s="24" t="s">
        <v>2113</v>
      </c>
      <c r="AR126" s="24" t="s">
        <v>291</v>
      </c>
      <c r="AS126" s="24" t="s">
        <v>291</v>
      </c>
      <c r="AT126" s="24"/>
    </row>
    <row r="127" spans="1:46" s="23" customFormat="1" ht="15" customHeight="1">
      <c r="A127" s="11">
        <v>125</v>
      </c>
      <c r="B127" s="12">
        <v>786</v>
      </c>
      <c r="C127" s="12" t="s">
        <v>271</v>
      </c>
      <c r="D127" s="18" t="s">
        <v>2114</v>
      </c>
      <c r="E127" s="13" t="s">
        <v>2115</v>
      </c>
      <c r="F127" s="11" t="s">
        <v>2116</v>
      </c>
      <c r="G127" s="12" t="s">
        <v>2117</v>
      </c>
      <c r="H127" s="24" t="s">
        <v>2086</v>
      </c>
      <c r="I127" s="13" t="s">
        <v>2118</v>
      </c>
      <c r="J127" s="13" t="s">
        <v>2119</v>
      </c>
      <c r="K127" s="24" t="s">
        <v>2120</v>
      </c>
      <c r="L127" s="13" t="s">
        <v>2121</v>
      </c>
      <c r="M127" s="13"/>
      <c r="N127" s="13" t="s">
        <v>2122</v>
      </c>
      <c r="O127" s="13" t="s">
        <v>3</v>
      </c>
      <c r="P127" s="12" t="s">
        <v>2123</v>
      </c>
      <c r="Q127" s="24" t="s">
        <v>2124</v>
      </c>
      <c r="R127" s="12">
        <v>59188</v>
      </c>
      <c r="S127" s="13" t="s">
        <v>3</v>
      </c>
      <c r="T127" s="12" t="s">
        <v>2123</v>
      </c>
      <c r="U127" s="24" t="s">
        <v>2124</v>
      </c>
      <c r="V127" s="12">
        <v>59188</v>
      </c>
      <c r="W127" s="13" t="s">
        <v>544</v>
      </c>
      <c r="X127" s="13" t="s">
        <v>2125</v>
      </c>
      <c r="Y127" s="13" t="s">
        <v>546</v>
      </c>
      <c r="Z127" s="24" t="s">
        <v>547</v>
      </c>
      <c r="AA127" s="24" t="s">
        <v>2126</v>
      </c>
      <c r="AB127" s="24"/>
      <c r="AC127" s="24"/>
      <c r="AD127" s="24"/>
      <c r="AE127" s="24" t="s">
        <v>321</v>
      </c>
      <c r="AF127" s="24"/>
      <c r="AG127" s="24"/>
      <c r="AH127" s="24"/>
      <c r="AI127" s="24"/>
      <c r="AJ127" s="24"/>
      <c r="AK127" s="24" t="s">
        <v>322</v>
      </c>
      <c r="AL127" s="24" t="s">
        <v>2127</v>
      </c>
      <c r="AM127" s="24" t="s">
        <v>2128</v>
      </c>
      <c r="AN127" s="24">
        <v>44781</v>
      </c>
      <c r="AO127" s="24" t="s">
        <v>2129</v>
      </c>
      <c r="AP127" s="24">
        <v>59189</v>
      </c>
      <c r="AQ127" s="24" t="s">
        <v>3</v>
      </c>
      <c r="AR127" s="24" t="s">
        <v>291</v>
      </c>
      <c r="AS127" s="24" t="s">
        <v>291</v>
      </c>
      <c r="AT127" s="24"/>
    </row>
    <row r="128" spans="1:46" s="23" customFormat="1" ht="15" customHeight="1">
      <c r="A128" s="11">
        <v>126</v>
      </c>
      <c r="B128" s="12">
        <v>8684</v>
      </c>
      <c r="C128" s="12"/>
      <c r="D128" s="18" t="s">
        <v>2130</v>
      </c>
      <c r="E128" s="13" t="s">
        <v>2131</v>
      </c>
      <c r="F128" s="11" t="s">
        <v>2132</v>
      </c>
      <c r="G128" s="12" t="s">
        <v>2133</v>
      </c>
      <c r="H128" s="24" t="s">
        <v>2086</v>
      </c>
      <c r="I128" s="11" t="s">
        <v>2134</v>
      </c>
      <c r="J128" s="11" t="s">
        <v>2135</v>
      </c>
      <c r="K128" s="24" t="s">
        <v>2136</v>
      </c>
      <c r="L128" s="11" t="s">
        <v>2137</v>
      </c>
      <c r="M128" s="13"/>
      <c r="N128" s="13" t="s">
        <v>2138</v>
      </c>
      <c r="O128" s="13" t="s">
        <v>3</v>
      </c>
      <c r="P128" s="12" t="s">
        <v>2139</v>
      </c>
      <c r="Q128" s="24" t="s">
        <v>2140</v>
      </c>
      <c r="R128" s="12">
        <v>59206</v>
      </c>
      <c r="S128" s="13" t="s">
        <v>3</v>
      </c>
      <c r="T128" s="12" t="s">
        <v>2139</v>
      </c>
      <c r="U128" s="24" t="s">
        <v>2140</v>
      </c>
      <c r="V128" s="12">
        <v>59206</v>
      </c>
      <c r="W128" s="13" t="s">
        <v>544</v>
      </c>
      <c r="X128" s="13" t="s">
        <v>2141</v>
      </c>
      <c r="Y128" s="13" t="s">
        <v>546</v>
      </c>
      <c r="Z128" s="24" t="s">
        <v>547</v>
      </c>
      <c r="AA128" s="24" t="s">
        <v>2142</v>
      </c>
      <c r="AB128" s="24"/>
      <c r="AC128" s="24"/>
      <c r="AD128" s="24"/>
      <c r="AE128" s="24" t="s">
        <v>321</v>
      </c>
      <c r="AF128" s="24"/>
      <c r="AG128" s="24"/>
      <c r="AH128" s="24"/>
      <c r="AI128" s="24"/>
      <c r="AJ128" s="24"/>
      <c r="AK128" s="24" t="s">
        <v>322</v>
      </c>
      <c r="AL128" s="24" t="s">
        <v>2143</v>
      </c>
      <c r="AM128" s="24" t="s">
        <v>2144</v>
      </c>
      <c r="AN128" s="24">
        <v>44277</v>
      </c>
      <c r="AO128" s="24" t="s">
        <v>2145</v>
      </c>
      <c r="AP128" s="24">
        <v>59207</v>
      </c>
      <c r="AQ128" s="24" t="s">
        <v>3</v>
      </c>
      <c r="AR128" s="24" t="s">
        <v>291</v>
      </c>
      <c r="AS128" s="24" t="s">
        <v>291</v>
      </c>
      <c r="AT128" s="24"/>
    </row>
    <row r="129" spans="1:46" s="23" customFormat="1" ht="15" customHeight="1">
      <c r="A129" s="11">
        <v>127</v>
      </c>
      <c r="B129" s="12">
        <v>1957</v>
      </c>
      <c r="C129" s="12" t="s">
        <v>271</v>
      </c>
      <c r="D129" s="18" t="s">
        <v>125</v>
      </c>
      <c r="E129" s="13" t="s">
        <v>2146</v>
      </c>
      <c r="F129" s="11" t="s">
        <v>2147</v>
      </c>
      <c r="G129" s="12" t="s">
        <v>2148</v>
      </c>
      <c r="H129" s="24" t="s">
        <v>2086</v>
      </c>
      <c r="I129" s="13" t="s">
        <v>2149</v>
      </c>
      <c r="J129" s="13" t="s">
        <v>2150</v>
      </c>
      <c r="K129" s="24" t="s">
        <v>2151</v>
      </c>
      <c r="L129" s="29" t="s">
        <v>2152</v>
      </c>
      <c r="M129" s="13" t="s">
        <v>248</v>
      </c>
      <c r="N129" s="13" t="s">
        <v>2153</v>
      </c>
      <c r="O129" s="13" t="s">
        <v>3</v>
      </c>
      <c r="P129" s="12" t="s">
        <v>2154</v>
      </c>
      <c r="Q129" s="24" t="s">
        <v>2155</v>
      </c>
      <c r="R129" s="12">
        <v>53451</v>
      </c>
      <c r="S129" s="13" t="s">
        <v>3</v>
      </c>
      <c r="T129" s="12" t="s">
        <v>2154</v>
      </c>
      <c r="U129" s="24" t="s">
        <v>2155</v>
      </c>
      <c r="V129" s="12">
        <v>53451</v>
      </c>
      <c r="W129" s="13" t="s">
        <v>544</v>
      </c>
      <c r="X129" s="13" t="s">
        <v>2156</v>
      </c>
      <c r="Y129" s="13" t="s">
        <v>546</v>
      </c>
      <c r="Z129" s="24" t="s">
        <v>547</v>
      </c>
      <c r="AA129" s="24" t="s">
        <v>2157</v>
      </c>
      <c r="AB129" s="24"/>
      <c r="AC129" s="24"/>
      <c r="AD129" s="24"/>
      <c r="AE129" s="24" t="s">
        <v>321</v>
      </c>
      <c r="AF129" s="24"/>
      <c r="AG129" s="24"/>
      <c r="AH129" s="24"/>
      <c r="AI129" s="24"/>
      <c r="AJ129" s="24"/>
      <c r="AK129" s="24" t="s">
        <v>322</v>
      </c>
      <c r="AL129" s="24" t="s">
        <v>2158</v>
      </c>
      <c r="AM129" s="24" t="s">
        <v>2159</v>
      </c>
      <c r="AN129" s="24">
        <v>33862</v>
      </c>
      <c r="AO129" s="24" t="s">
        <v>2160</v>
      </c>
      <c r="AP129" s="24">
        <v>53452</v>
      </c>
      <c r="AQ129" s="24" t="s">
        <v>12</v>
      </c>
      <c r="AR129" s="24" t="s">
        <v>12</v>
      </c>
      <c r="AS129" s="24" t="s">
        <v>2161</v>
      </c>
      <c r="AT129" s="24"/>
    </row>
    <row r="130" spans="1:46" s="23" customFormat="1" ht="15" customHeight="1">
      <c r="A130" s="11">
        <v>128</v>
      </c>
      <c r="B130" s="12">
        <v>12244</v>
      </c>
      <c r="C130" s="12" t="s">
        <v>271</v>
      </c>
      <c r="D130" s="18" t="s">
        <v>132</v>
      </c>
      <c r="E130" s="13" t="s">
        <v>2162</v>
      </c>
      <c r="F130" s="11" t="s">
        <v>2163</v>
      </c>
      <c r="G130" s="12" t="s">
        <v>2164</v>
      </c>
      <c r="H130" s="24" t="s">
        <v>2086</v>
      </c>
      <c r="I130" s="13" t="s">
        <v>2165</v>
      </c>
      <c r="J130" s="13" t="s">
        <v>2166</v>
      </c>
      <c r="K130" s="24" t="s">
        <v>2167</v>
      </c>
      <c r="L130" s="29" t="s">
        <v>2168</v>
      </c>
      <c r="M130" s="13" t="s">
        <v>248</v>
      </c>
      <c r="N130" s="13" t="s">
        <v>2169</v>
      </c>
      <c r="O130" s="13" t="s">
        <v>4</v>
      </c>
      <c r="P130" s="12" t="s">
        <v>2170</v>
      </c>
      <c r="Q130" s="24" t="s">
        <v>2171</v>
      </c>
      <c r="R130" s="12">
        <v>564920</v>
      </c>
      <c r="S130" s="24"/>
      <c r="T130" s="24"/>
      <c r="U130" s="24"/>
      <c r="V130" s="24" t="s">
        <v>283</v>
      </c>
      <c r="W130" s="24"/>
      <c r="X130" s="24"/>
      <c r="Y130" s="24"/>
      <c r="Z130" s="24"/>
      <c r="AA130" s="24"/>
      <c r="AB130" s="13" t="s">
        <v>4</v>
      </c>
      <c r="AC130" s="12" t="s">
        <v>2170</v>
      </c>
      <c r="AD130" s="24" t="s">
        <v>2171</v>
      </c>
      <c r="AE130" s="12">
        <v>564920</v>
      </c>
      <c r="AF130" s="13" t="s">
        <v>284</v>
      </c>
      <c r="AG130" s="13" t="s">
        <v>2172</v>
      </c>
      <c r="AH130" s="13" t="s">
        <v>286</v>
      </c>
      <c r="AI130" s="24" t="s">
        <v>287</v>
      </c>
      <c r="AJ130" s="24">
        <v>296</v>
      </c>
      <c r="AK130" s="24" t="s">
        <v>2173</v>
      </c>
      <c r="AL130" s="24" t="s">
        <v>2174</v>
      </c>
      <c r="AM130" s="24" t="s">
        <v>2175</v>
      </c>
      <c r="AN130" s="24">
        <v>45713</v>
      </c>
      <c r="AO130" s="24" t="s">
        <v>2170</v>
      </c>
      <c r="AP130" s="24">
        <v>564926</v>
      </c>
      <c r="AQ130" s="24" t="s">
        <v>2113</v>
      </c>
      <c r="AR130" s="24" t="s">
        <v>291</v>
      </c>
      <c r="AS130" s="24" t="s">
        <v>291</v>
      </c>
      <c r="AT130" s="24"/>
    </row>
    <row r="131" spans="1:46" s="23" customFormat="1" ht="15" customHeight="1">
      <c r="A131" s="11">
        <v>129</v>
      </c>
      <c r="B131" s="12">
        <v>2498</v>
      </c>
      <c r="C131" s="12" t="s">
        <v>271</v>
      </c>
      <c r="D131" s="18" t="s">
        <v>133</v>
      </c>
      <c r="E131" s="13" t="s">
        <v>2176</v>
      </c>
      <c r="F131" s="11" t="s">
        <v>2177</v>
      </c>
      <c r="G131" s="12" t="s">
        <v>2178</v>
      </c>
      <c r="H131" s="24" t="s">
        <v>2086</v>
      </c>
      <c r="I131" s="13" t="s">
        <v>2179</v>
      </c>
      <c r="J131" s="13" t="s">
        <v>2180</v>
      </c>
      <c r="K131" s="24" t="s">
        <v>2181</v>
      </c>
      <c r="L131" s="29" t="s">
        <v>2182</v>
      </c>
      <c r="M131" s="13" t="s">
        <v>248</v>
      </c>
      <c r="N131" s="13" t="s">
        <v>2183</v>
      </c>
      <c r="O131" s="13" t="s">
        <v>4</v>
      </c>
      <c r="P131" s="12" t="s">
        <v>2184</v>
      </c>
      <c r="Q131" s="24" t="s">
        <v>2185</v>
      </c>
      <c r="R131" s="12">
        <v>551360</v>
      </c>
      <c r="S131" s="24"/>
      <c r="T131" s="24"/>
      <c r="U131" s="24"/>
      <c r="V131" s="24" t="s">
        <v>283</v>
      </c>
      <c r="W131" s="24"/>
      <c r="X131" s="24"/>
      <c r="Y131" s="24"/>
      <c r="Z131" s="24"/>
      <c r="AA131" s="24"/>
      <c r="AB131" s="13" t="s">
        <v>4</v>
      </c>
      <c r="AC131" s="12" t="s">
        <v>2184</v>
      </c>
      <c r="AD131" s="24" t="s">
        <v>2185</v>
      </c>
      <c r="AE131" s="12">
        <v>551360</v>
      </c>
      <c r="AF131" s="13" t="s">
        <v>284</v>
      </c>
      <c r="AG131" s="13" t="s">
        <v>2186</v>
      </c>
      <c r="AH131" s="13" t="s">
        <v>286</v>
      </c>
      <c r="AI131" s="24" t="s">
        <v>287</v>
      </c>
      <c r="AJ131" s="24">
        <v>63</v>
      </c>
      <c r="AK131" s="24" t="s">
        <v>2187</v>
      </c>
      <c r="AL131" s="24" t="s">
        <v>2188</v>
      </c>
      <c r="AM131" s="24" t="s">
        <v>2189</v>
      </c>
      <c r="AN131" s="24">
        <v>32465</v>
      </c>
      <c r="AO131" s="24" t="s">
        <v>2184</v>
      </c>
      <c r="AP131" s="24">
        <v>551366</v>
      </c>
      <c r="AQ131" s="24" t="s">
        <v>2113</v>
      </c>
      <c r="AR131" s="24" t="s">
        <v>291</v>
      </c>
      <c r="AS131" s="24" t="s">
        <v>291</v>
      </c>
      <c r="AT131" s="24"/>
    </row>
    <row r="132" spans="1:46" s="23" customFormat="1" ht="15" customHeight="1">
      <c r="A132" s="11">
        <v>130</v>
      </c>
      <c r="B132" s="12">
        <v>8981</v>
      </c>
      <c r="C132" s="12" t="s">
        <v>271</v>
      </c>
      <c r="D132" s="18" t="s">
        <v>134</v>
      </c>
      <c r="E132" s="13" t="s">
        <v>2190</v>
      </c>
      <c r="F132" s="11" t="s">
        <v>2191</v>
      </c>
      <c r="G132" s="12" t="s">
        <v>2192</v>
      </c>
      <c r="H132" s="24" t="s">
        <v>2086</v>
      </c>
      <c r="I132" s="13" t="s">
        <v>2193</v>
      </c>
      <c r="J132" s="13" t="s">
        <v>2194</v>
      </c>
      <c r="K132" s="24" t="s">
        <v>2195</v>
      </c>
      <c r="L132" s="29" t="s">
        <v>2196</v>
      </c>
      <c r="M132" s="13" t="s">
        <v>248</v>
      </c>
      <c r="N132" s="13" t="s">
        <v>2197</v>
      </c>
      <c r="O132" s="13" t="s">
        <v>3</v>
      </c>
      <c r="P132" s="12" t="s">
        <v>2198</v>
      </c>
      <c r="Q132" s="24" t="s">
        <v>2199</v>
      </c>
      <c r="R132" s="12">
        <v>53867</v>
      </c>
      <c r="S132" s="13" t="s">
        <v>3</v>
      </c>
      <c r="T132" s="12" t="s">
        <v>2198</v>
      </c>
      <c r="U132" s="24" t="s">
        <v>2199</v>
      </c>
      <c r="V132" s="12">
        <v>53867</v>
      </c>
      <c r="W132" s="13" t="s">
        <v>544</v>
      </c>
      <c r="X132" s="13" t="s">
        <v>2200</v>
      </c>
      <c r="Y132" s="13" t="s">
        <v>546</v>
      </c>
      <c r="Z132" s="24" t="s">
        <v>547</v>
      </c>
      <c r="AA132" s="24" t="s">
        <v>2201</v>
      </c>
      <c r="AB132" s="24"/>
      <c r="AC132" s="24"/>
      <c r="AD132" s="24"/>
      <c r="AE132" s="24" t="s">
        <v>321</v>
      </c>
      <c r="AF132" s="24"/>
      <c r="AG132" s="24"/>
      <c r="AH132" s="24"/>
      <c r="AI132" s="24"/>
      <c r="AJ132" s="24"/>
      <c r="AK132" s="24" t="s">
        <v>322</v>
      </c>
      <c r="AL132" s="24" t="s">
        <v>2202</v>
      </c>
      <c r="AM132" s="24" t="s">
        <v>2203</v>
      </c>
      <c r="AN132" s="24">
        <v>30677</v>
      </c>
      <c r="AO132" s="24" t="s">
        <v>2204</v>
      </c>
      <c r="AP132" s="24">
        <v>53868</v>
      </c>
      <c r="AQ132" s="24" t="s">
        <v>3</v>
      </c>
      <c r="AR132" s="24" t="s">
        <v>291</v>
      </c>
      <c r="AS132" s="24" t="s">
        <v>291</v>
      </c>
      <c r="AT132" s="24"/>
    </row>
    <row r="133" spans="1:46" s="23" customFormat="1" ht="15" customHeight="1">
      <c r="A133" s="11">
        <v>131</v>
      </c>
      <c r="B133" s="12">
        <v>31813</v>
      </c>
      <c r="C133" s="12" t="s">
        <v>271</v>
      </c>
      <c r="D133" s="18" t="s">
        <v>116</v>
      </c>
      <c r="E133" s="13" t="s">
        <v>2205</v>
      </c>
      <c r="F133" s="11" t="s">
        <v>2206</v>
      </c>
      <c r="G133" s="12" t="s">
        <v>2207</v>
      </c>
      <c r="H133" s="24" t="s">
        <v>2086</v>
      </c>
      <c r="I133" s="13" t="s">
        <v>2208</v>
      </c>
      <c r="J133" s="13" t="s">
        <v>2209</v>
      </c>
      <c r="K133" s="24" t="s">
        <v>2210</v>
      </c>
      <c r="L133" s="13" t="s">
        <v>2211</v>
      </c>
      <c r="M133" s="13"/>
      <c r="N133" s="13" t="s">
        <v>2212</v>
      </c>
      <c r="O133" s="13" t="s">
        <v>4</v>
      </c>
      <c r="P133" s="12" t="s">
        <v>2213</v>
      </c>
      <c r="Q133" s="24" t="s">
        <v>2214</v>
      </c>
      <c r="R133" s="12">
        <v>534170</v>
      </c>
      <c r="S133" s="24"/>
      <c r="T133" s="24"/>
      <c r="U133" s="24"/>
      <c r="V133" s="24" t="s">
        <v>283</v>
      </c>
      <c r="W133" s="24"/>
      <c r="X133" s="24"/>
      <c r="Y133" s="24"/>
      <c r="Z133" s="24"/>
      <c r="AA133" s="24"/>
      <c r="AB133" s="13" t="s">
        <v>4</v>
      </c>
      <c r="AC133" s="12" t="s">
        <v>2213</v>
      </c>
      <c r="AD133" s="24" t="s">
        <v>2214</v>
      </c>
      <c r="AE133" s="12">
        <v>534170</v>
      </c>
      <c r="AF133" s="13" t="s">
        <v>284</v>
      </c>
      <c r="AG133" s="13" t="s">
        <v>2215</v>
      </c>
      <c r="AH133" s="13" t="s">
        <v>286</v>
      </c>
      <c r="AI133" s="24" t="s">
        <v>287</v>
      </c>
      <c r="AJ133" s="24">
        <v>154</v>
      </c>
      <c r="AK133" s="24" t="s">
        <v>2216</v>
      </c>
      <c r="AL133" s="24" t="s">
        <v>2217</v>
      </c>
      <c r="AM133" s="24" t="s">
        <v>2218</v>
      </c>
      <c r="AN133" s="24">
        <v>38407</v>
      </c>
      <c r="AO133" s="24" t="s">
        <v>2213</v>
      </c>
      <c r="AP133" s="24">
        <v>534176</v>
      </c>
      <c r="AQ133" s="24" t="s">
        <v>12</v>
      </c>
      <c r="AR133" s="24" t="s">
        <v>12</v>
      </c>
      <c r="AS133" s="24" t="s">
        <v>2219</v>
      </c>
      <c r="AT133" s="24"/>
    </row>
    <row r="134" spans="1:46" s="23" customFormat="1" ht="15" customHeight="1">
      <c r="A134" s="11">
        <v>132</v>
      </c>
      <c r="B134" s="12">
        <v>3495</v>
      </c>
      <c r="C134" s="12" t="s">
        <v>271</v>
      </c>
      <c r="D134" s="18" t="s">
        <v>124</v>
      </c>
      <c r="E134" s="13" t="s">
        <v>2220</v>
      </c>
      <c r="F134" s="11" t="s">
        <v>2221</v>
      </c>
      <c r="G134" s="12" t="s">
        <v>2222</v>
      </c>
      <c r="H134" s="24" t="s">
        <v>2086</v>
      </c>
      <c r="I134" s="13" t="s">
        <v>2223</v>
      </c>
      <c r="J134" s="13" t="s">
        <v>2224</v>
      </c>
      <c r="K134" s="24" t="s">
        <v>2225</v>
      </c>
      <c r="L134" s="13" t="s">
        <v>2226</v>
      </c>
      <c r="M134" s="13"/>
      <c r="N134" s="13" t="s">
        <v>2227</v>
      </c>
      <c r="O134" s="13" t="s">
        <v>3</v>
      </c>
      <c r="P134" s="12" t="s">
        <v>2228</v>
      </c>
      <c r="Q134" s="24" t="s">
        <v>2229</v>
      </c>
      <c r="R134" s="12">
        <v>53463</v>
      </c>
      <c r="S134" s="13" t="s">
        <v>3</v>
      </c>
      <c r="T134" s="12" t="s">
        <v>2228</v>
      </c>
      <c r="U134" s="24" t="s">
        <v>2229</v>
      </c>
      <c r="V134" s="12">
        <v>53463</v>
      </c>
      <c r="W134" s="13" t="s">
        <v>544</v>
      </c>
      <c r="X134" s="13" t="s">
        <v>2230</v>
      </c>
      <c r="Y134" s="13" t="s">
        <v>546</v>
      </c>
      <c r="Z134" s="24" t="s">
        <v>547</v>
      </c>
      <c r="AA134" s="24" t="s">
        <v>2231</v>
      </c>
      <c r="AB134" s="24"/>
      <c r="AC134" s="24"/>
      <c r="AD134" s="24"/>
      <c r="AE134" s="24" t="s">
        <v>321</v>
      </c>
      <c r="AF134" s="24"/>
      <c r="AG134" s="24"/>
      <c r="AH134" s="24"/>
      <c r="AI134" s="24"/>
      <c r="AJ134" s="24"/>
      <c r="AK134" s="24" t="s">
        <v>322</v>
      </c>
      <c r="AL134" s="24" t="s">
        <v>2232</v>
      </c>
      <c r="AM134" s="24" t="s">
        <v>2233</v>
      </c>
      <c r="AN134" s="24">
        <v>46681</v>
      </c>
      <c r="AO134" s="24" t="s">
        <v>2234</v>
      </c>
      <c r="AP134" s="24">
        <v>53464</v>
      </c>
      <c r="AQ134" s="24" t="s">
        <v>12</v>
      </c>
      <c r="AR134" s="24" t="s">
        <v>12</v>
      </c>
      <c r="AS134" s="24" t="s">
        <v>2235</v>
      </c>
      <c r="AT134" s="24"/>
    </row>
    <row r="135" spans="1:46" s="23" customFormat="1" ht="15" customHeight="1">
      <c r="A135" s="11">
        <v>133</v>
      </c>
      <c r="B135" s="12">
        <v>8376</v>
      </c>
      <c r="C135" s="12" t="s">
        <v>271</v>
      </c>
      <c r="D135" s="18" t="s">
        <v>2236</v>
      </c>
      <c r="E135" s="13" t="s">
        <v>2237</v>
      </c>
      <c r="F135" s="11" t="s">
        <v>2238</v>
      </c>
      <c r="G135" s="12" t="s">
        <v>2239</v>
      </c>
      <c r="H135" s="24" t="s">
        <v>2086</v>
      </c>
      <c r="I135" s="13" t="s">
        <v>2240</v>
      </c>
      <c r="J135" s="13" t="s">
        <v>2241</v>
      </c>
      <c r="K135" s="24" t="s">
        <v>2242</v>
      </c>
      <c r="L135" s="13" t="s">
        <v>2243</v>
      </c>
      <c r="M135" s="13"/>
      <c r="N135" s="13" t="s">
        <v>2244</v>
      </c>
      <c r="O135" s="13" t="s">
        <v>3</v>
      </c>
      <c r="P135" s="12" t="s">
        <v>2245</v>
      </c>
      <c r="Q135" s="24" t="s">
        <v>2185</v>
      </c>
      <c r="R135" s="12">
        <v>54307</v>
      </c>
      <c r="S135" s="13" t="s">
        <v>3</v>
      </c>
      <c r="T135" s="12" t="s">
        <v>2245</v>
      </c>
      <c r="U135" s="24" t="s">
        <v>2185</v>
      </c>
      <c r="V135" s="12">
        <v>54307</v>
      </c>
      <c r="W135" s="13" t="s">
        <v>544</v>
      </c>
      <c r="X135" s="13" t="s">
        <v>2246</v>
      </c>
      <c r="Y135" s="13" t="s">
        <v>546</v>
      </c>
      <c r="Z135" s="24" t="s">
        <v>547</v>
      </c>
      <c r="AA135" s="24" t="s">
        <v>2247</v>
      </c>
      <c r="AB135" s="24"/>
      <c r="AC135" s="24"/>
      <c r="AD135" s="24"/>
      <c r="AE135" s="24" t="s">
        <v>321</v>
      </c>
      <c r="AF135" s="24"/>
      <c r="AG135" s="24"/>
      <c r="AH135" s="24"/>
      <c r="AI135" s="24"/>
      <c r="AJ135" s="24"/>
      <c r="AK135" s="24" t="s">
        <v>322</v>
      </c>
      <c r="AL135" s="24" t="s">
        <v>2248</v>
      </c>
      <c r="AM135" s="24" t="s">
        <v>2249</v>
      </c>
      <c r="AN135" s="24">
        <v>31835</v>
      </c>
      <c r="AO135" s="24" t="s">
        <v>2250</v>
      </c>
      <c r="AP135" s="24">
        <v>54308</v>
      </c>
      <c r="AQ135" s="24" t="s">
        <v>3</v>
      </c>
      <c r="AR135" s="24" t="s">
        <v>291</v>
      </c>
      <c r="AS135" s="24" t="s">
        <v>291</v>
      </c>
      <c r="AT135" s="24"/>
    </row>
    <row r="136" spans="1:46" s="23" customFormat="1" ht="15" customHeight="1">
      <c r="A136" s="11">
        <v>134</v>
      </c>
      <c r="B136" s="12">
        <v>8505</v>
      </c>
      <c r="C136" s="12" t="s">
        <v>271</v>
      </c>
      <c r="D136" s="18" t="s">
        <v>2251</v>
      </c>
      <c r="E136" s="13" t="s">
        <v>2252</v>
      </c>
      <c r="F136" s="11" t="s">
        <v>2253</v>
      </c>
      <c r="G136" s="12" t="s">
        <v>2254</v>
      </c>
      <c r="H136" s="24" t="s">
        <v>2086</v>
      </c>
      <c r="I136" s="13" t="s">
        <v>2255</v>
      </c>
      <c r="J136" s="13" t="s">
        <v>2256</v>
      </c>
      <c r="K136" s="24" t="s">
        <v>2257</v>
      </c>
      <c r="L136" s="13" t="s">
        <v>2258</v>
      </c>
      <c r="M136" s="13"/>
      <c r="N136" s="13" t="s">
        <v>2259</v>
      </c>
      <c r="O136" s="13" t="s">
        <v>4</v>
      </c>
      <c r="P136" s="12" t="s">
        <v>2260</v>
      </c>
      <c r="Q136" s="24" t="s">
        <v>2185</v>
      </c>
      <c r="R136" s="12">
        <v>557610</v>
      </c>
      <c r="S136" s="24"/>
      <c r="T136" s="24"/>
      <c r="U136" s="24"/>
      <c r="V136" s="24" t="s">
        <v>283</v>
      </c>
      <c r="W136" s="24"/>
      <c r="X136" s="24"/>
      <c r="Y136" s="24"/>
      <c r="Z136" s="24"/>
      <c r="AA136" s="24"/>
      <c r="AB136" s="13" t="s">
        <v>4</v>
      </c>
      <c r="AC136" s="12" t="s">
        <v>2260</v>
      </c>
      <c r="AD136" s="24" t="s">
        <v>2185</v>
      </c>
      <c r="AE136" s="12">
        <v>557610</v>
      </c>
      <c r="AF136" s="13" t="s">
        <v>284</v>
      </c>
      <c r="AG136" s="13" t="s">
        <v>2261</v>
      </c>
      <c r="AH136" s="13" t="s">
        <v>286</v>
      </c>
      <c r="AI136" s="24" t="s">
        <v>287</v>
      </c>
      <c r="AJ136" s="24">
        <v>315</v>
      </c>
      <c r="AK136" s="24" t="s">
        <v>2262</v>
      </c>
      <c r="AL136" s="24" t="s">
        <v>2263</v>
      </c>
      <c r="AM136" s="24" t="s">
        <v>2264</v>
      </c>
      <c r="AN136" s="24">
        <v>23941</v>
      </c>
      <c r="AO136" s="24" t="s">
        <v>2260</v>
      </c>
      <c r="AP136" s="24">
        <v>557616</v>
      </c>
      <c r="AQ136" s="24" t="s">
        <v>2113</v>
      </c>
      <c r="AR136" s="24" t="s">
        <v>291</v>
      </c>
      <c r="AS136" s="24" t="s">
        <v>291</v>
      </c>
      <c r="AT136" s="24"/>
    </row>
    <row r="137" spans="1:46" s="23" customFormat="1" ht="15" customHeight="1">
      <c r="A137" s="11">
        <v>135</v>
      </c>
      <c r="B137" s="12">
        <v>8865</v>
      </c>
      <c r="C137" s="12" t="s">
        <v>271</v>
      </c>
      <c r="D137" s="18" t="s">
        <v>128</v>
      </c>
      <c r="E137" s="13" t="s">
        <v>2265</v>
      </c>
      <c r="F137" s="11" t="s">
        <v>2266</v>
      </c>
      <c r="G137" s="12" t="s">
        <v>2267</v>
      </c>
      <c r="H137" s="24" t="s">
        <v>2086</v>
      </c>
      <c r="I137" s="13" t="s">
        <v>2268</v>
      </c>
      <c r="J137" s="13" t="s">
        <v>2269</v>
      </c>
      <c r="K137" s="24" t="s">
        <v>2270</v>
      </c>
      <c r="L137" s="13" t="s">
        <v>2271</v>
      </c>
      <c r="M137" s="13"/>
      <c r="N137" s="13" t="s">
        <v>2272</v>
      </c>
      <c r="O137" s="13" t="s">
        <v>4</v>
      </c>
      <c r="P137" s="12" t="s">
        <v>2273</v>
      </c>
      <c r="Q137" s="24" t="s">
        <v>2274</v>
      </c>
      <c r="R137" s="12">
        <v>564510</v>
      </c>
      <c r="S137" s="24"/>
      <c r="T137" s="24"/>
      <c r="U137" s="24"/>
      <c r="V137" s="24" t="s">
        <v>283</v>
      </c>
      <c r="W137" s="24"/>
      <c r="X137" s="24"/>
      <c r="Y137" s="24"/>
      <c r="Z137" s="24"/>
      <c r="AA137" s="24"/>
      <c r="AB137" s="13" t="s">
        <v>4</v>
      </c>
      <c r="AC137" s="12" t="s">
        <v>2273</v>
      </c>
      <c r="AD137" s="24" t="s">
        <v>2274</v>
      </c>
      <c r="AE137" s="12">
        <v>564510</v>
      </c>
      <c r="AF137" s="13" t="s">
        <v>284</v>
      </c>
      <c r="AG137" s="13" t="s">
        <v>2275</v>
      </c>
      <c r="AH137" s="13" t="s">
        <v>286</v>
      </c>
      <c r="AI137" s="24" t="s">
        <v>287</v>
      </c>
      <c r="AJ137" s="24">
        <v>286</v>
      </c>
      <c r="AK137" s="24" t="s">
        <v>2276</v>
      </c>
      <c r="AL137" s="24" t="s">
        <v>2277</v>
      </c>
      <c r="AM137" s="24" t="s">
        <v>2278</v>
      </c>
      <c r="AN137" s="24">
        <v>45336</v>
      </c>
      <c r="AO137" s="24" t="s">
        <v>2273</v>
      </c>
      <c r="AP137" s="24">
        <v>564516</v>
      </c>
      <c r="AQ137" s="24" t="s">
        <v>2113</v>
      </c>
      <c r="AR137" s="24" t="s">
        <v>291</v>
      </c>
      <c r="AS137" s="24" t="s">
        <v>291</v>
      </c>
      <c r="AT137" s="24"/>
    </row>
    <row r="138" spans="1:46" s="23" customFormat="1" ht="15" customHeight="1">
      <c r="A138" s="11">
        <v>136</v>
      </c>
      <c r="B138" s="12">
        <v>9365</v>
      </c>
      <c r="C138" s="12" t="s">
        <v>271</v>
      </c>
      <c r="D138" s="18" t="s">
        <v>129</v>
      </c>
      <c r="E138" s="13" t="s">
        <v>2279</v>
      </c>
      <c r="F138" s="11" t="s">
        <v>2280</v>
      </c>
      <c r="G138" s="12" t="s">
        <v>2281</v>
      </c>
      <c r="H138" s="24" t="s">
        <v>2086</v>
      </c>
      <c r="I138" s="13" t="s">
        <v>2282</v>
      </c>
      <c r="J138" s="13" t="s">
        <v>2283</v>
      </c>
      <c r="K138" s="24" t="s">
        <v>2284</v>
      </c>
      <c r="L138" s="13" t="s">
        <v>2285</v>
      </c>
      <c r="M138" s="13"/>
      <c r="N138" s="13" t="s">
        <v>2286</v>
      </c>
      <c r="O138" s="13" t="s">
        <v>3</v>
      </c>
      <c r="P138" s="12" t="s">
        <v>2287</v>
      </c>
      <c r="Q138" s="24" t="s">
        <v>2185</v>
      </c>
      <c r="R138" s="12">
        <v>54796</v>
      </c>
      <c r="S138" s="13" t="s">
        <v>3</v>
      </c>
      <c r="T138" s="12" t="s">
        <v>2287</v>
      </c>
      <c r="U138" s="24" t="s">
        <v>2185</v>
      </c>
      <c r="V138" s="12">
        <v>54796</v>
      </c>
      <c r="W138" s="13" t="s">
        <v>544</v>
      </c>
      <c r="X138" s="13" t="s">
        <v>2288</v>
      </c>
      <c r="Y138" s="13" t="s">
        <v>546</v>
      </c>
      <c r="Z138" s="24" t="s">
        <v>547</v>
      </c>
      <c r="AA138" s="24" t="s">
        <v>2289</v>
      </c>
      <c r="AB138" s="24"/>
      <c r="AC138" s="24"/>
      <c r="AD138" s="24"/>
      <c r="AE138" s="24" t="s">
        <v>321</v>
      </c>
      <c r="AF138" s="24"/>
      <c r="AG138" s="24"/>
      <c r="AH138" s="24"/>
      <c r="AI138" s="24"/>
      <c r="AJ138" s="24"/>
      <c r="AK138" s="24" t="s">
        <v>322</v>
      </c>
      <c r="AL138" s="24" t="s">
        <v>2290</v>
      </c>
      <c r="AM138" s="24" t="s">
        <v>2291</v>
      </c>
      <c r="AN138" s="24">
        <v>40679</v>
      </c>
      <c r="AO138" s="24" t="s">
        <v>2292</v>
      </c>
      <c r="AP138" s="24">
        <v>54797</v>
      </c>
      <c r="AQ138" s="24" t="s">
        <v>12</v>
      </c>
      <c r="AR138" s="24" t="s">
        <v>12</v>
      </c>
      <c r="AS138" s="24" t="s">
        <v>2293</v>
      </c>
      <c r="AT138" s="24"/>
    </row>
    <row r="139" spans="1:46" s="23" customFormat="1" ht="15" customHeight="1">
      <c r="A139" s="11">
        <v>137</v>
      </c>
      <c r="B139" s="12">
        <v>9302</v>
      </c>
      <c r="C139" s="12" t="s">
        <v>271</v>
      </c>
      <c r="D139" s="18" t="s">
        <v>119</v>
      </c>
      <c r="E139" s="13" t="s">
        <v>2294</v>
      </c>
      <c r="F139" s="11" t="s">
        <v>2295</v>
      </c>
      <c r="G139" s="12" t="s">
        <v>2296</v>
      </c>
      <c r="H139" s="24" t="s">
        <v>2086</v>
      </c>
      <c r="I139" s="13" t="s">
        <v>2297</v>
      </c>
      <c r="J139" s="13" t="s">
        <v>2298</v>
      </c>
      <c r="K139" s="24" t="s">
        <v>2299</v>
      </c>
      <c r="L139" s="29" t="s">
        <v>2300</v>
      </c>
      <c r="M139" s="13" t="s">
        <v>248</v>
      </c>
      <c r="N139" s="13" t="s">
        <v>2301</v>
      </c>
      <c r="O139" s="13" t="s">
        <v>4</v>
      </c>
      <c r="P139" s="12" t="s">
        <v>2302</v>
      </c>
      <c r="Q139" s="24" t="s">
        <v>2303</v>
      </c>
      <c r="R139" s="12">
        <v>536540</v>
      </c>
      <c r="S139" s="24"/>
      <c r="T139" s="24"/>
      <c r="U139" s="24"/>
      <c r="V139" s="24" t="s">
        <v>283</v>
      </c>
      <c r="W139" s="24"/>
      <c r="X139" s="24"/>
      <c r="Y139" s="24"/>
      <c r="Z139" s="24"/>
      <c r="AA139" s="24"/>
      <c r="AB139" s="13" t="s">
        <v>4</v>
      </c>
      <c r="AC139" s="12" t="s">
        <v>2302</v>
      </c>
      <c r="AD139" s="24" t="s">
        <v>2303</v>
      </c>
      <c r="AE139" s="12">
        <v>536540</v>
      </c>
      <c r="AF139" s="13" t="s">
        <v>284</v>
      </c>
      <c r="AG139" s="13" t="s">
        <v>2304</v>
      </c>
      <c r="AH139" s="13" t="s">
        <v>286</v>
      </c>
      <c r="AI139" s="24" t="s">
        <v>287</v>
      </c>
      <c r="AJ139" s="24">
        <v>60</v>
      </c>
      <c r="AK139" s="24" t="s">
        <v>2305</v>
      </c>
      <c r="AL139" s="24" t="s">
        <v>2306</v>
      </c>
      <c r="AM139" s="24" t="s">
        <v>2307</v>
      </c>
      <c r="AN139" s="24">
        <v>36374</v>
      </c>
      <c r="AO139" s="24" t="s">
        <v>2302</v>
      </c>
      <c r="AP139" s="24">
        <v>536546</v>
      </c>
      <c r="AQ139" s="24" t="s">
        <v>2113</v>
      </c>
      <c r="AR139" s="24" t="s">
        <v>291</v>
      </c>
      <c r="AS139" s="24" t="s">
        <v>291</v>
      </c>
      <c r="AT139" s="24"/>
    </row>
    <row r="140" spans="1:46" s="23" customFormat="1" ht="15" customHeight="1">
      <c r="A140" s="11">
        <v>138</v>
      </c>
      <c r="B140" s="12">
        <v>9344</v>
      </c>
      <c r="C140" s="12" t="s">
        <v>271</v>
      </c>
      <c r="D140" s="18" t="s">
        <v>118</v>
      </c>
      <c r="E140" s="13" t="s">
        <v>2308</v>
      </c>
      <c r="F140" s="11" t="s">
        <v>2309</v>
      </c>
      <c r="G140" s="12" t="s">
        <v>2310</v>
      </c>
      <c r="H140" s="24" t="s">
        <v>2086</v>
      </c>
      <c r="I140" s="13" t="s">
        <v>2311</v>
      </c>
      <c r="J140" s="13" t="s">
        <v>2312</v>
      </c>
      <c r="K140" s="24" t="s">
        <v>2313</v>
      </c>
      <c r="L140" s="29" t="s">
        <v>2314</v>
      </c>
      <c r="M140" s="13" t="s">
        <v>248</v>
      </c>
      <c r="N140" s="13" t="s">
        <v>2315</v>
      </c>
      <c r="O140" s="13" t="s">
        <v>3</v>
      </c>
      <c r="P140" s="12" t="s">
        <v>2316</v>
      </c>
      <c r="Q140" s="24" t="s">
        <v>2317</v>
      </c>
      <c r="R140" s="12">
        <v>59192</v>
      </c>
      <c r="S140" s="13" t="s">
        <v>3</v>
      </c>
      <c r="T140" s="12" t="s">
        <v>2316</v>
      </c>
      <c r="U140" s="24" t="s">
        <v>2317</v>
      </c>
      <c r="V140" s="12">
        <v>59192</v>
      </c>
      <c r="W140" s="13" t="s">
        <v>544</v>
      </c>
      <c r="X140" s="13" t="s">
        <v>2318</v>
      </c>
      <c r="Y140" s="13" t="s">
        <v>546</v>
      </c>
      <c r="Z140" s="24" t="s">
        <v>547</v>
      </c>
      <c r="AA140" s="24" t="s">
        <v>2319</v>
      </c>
      <c r="AB140" s="24"/>
      <c r="AC140" s="24"/>
      <c r="AD140" s="24"/>
      <c r="AE140" s="24" t="s">
        <v>321</v>
      </c>
      <c r="AF140" s="24"/>
      <c r="AG140" s="24"/>
      <c r="AH140" s="24"/>
      <c r="AI140" s="24"/>
      <c r="AJ140" s="24"/>
      <c r="AK140" s="24" t="s">
        <v>322</v>
      </c>
      <c r="AL140" s="24" t="s">
        <v>2320</v>
      </c>
      <c r="AM140" s="24" t="s">
        <v>2321</v>
      </c>
      <c r="AN140" s="24">
        <v>40422</v>
      </c>
      <c r="AO140" s="24" t="s">
        <v>2322</v>
      </c>
      <c r="AP140" s="24">
        <v>59193</v>
      </c>
      <c r="AQ140" s="24" t="s">
        <v>342</v>
      </c>
      <c r="AR140" s="24" t="s">
        <v>291</v>
      </c>
      <c r="AS140" s="24" t="s">
        <v>291</v>
      </c>
      <c r="AT140" s="24"/>
    </row>
    <row r="141" spans="1:46" s="23" customFormat="1" ht="15" customHeight="1">
      <c r="A141" s="11">
        <v>139</v>
      </c>
      <c r="B141" s="12">
        <v>9349</v>
      </c>
      <c r="C141" s="12" t="s">
        <v>271</v>
      </c>
      <c r="D141" s="18" t="s">
        <v>120</v>
      </c>
      <c r="E141" s="13" t="s">
        <v>2323</v>
      </c>
      <c r="F141" s="11" t="s">
        <v>2324</v>
      </c>
      <c r="G141" s="12" t="s">
        <v>2325</v>
      </c>
      <c r="H141" s="24" t="s">
        <v>2086</v>
      </c>
      <c r="I141" s="13" t="s">
        <v>2326</v>
      </c>
      <c r="J141" s="13" t="s">
        <v>2327</v>
      </c>
      <c r="K141" s="24" t="s">
        <v>2328</v>
      </c>
      <c r="L141" s="29" t="s">
        <v>2329</v>
      </c>
      <c r="M141" s="13" t="s">
        <v>248</v>
      </c>
      <c r="N141" s="13" t="s">
        <v>2330</v>
      </c>
      <c r="O141" s="13" t="s">
        <v>3</v>
      </c>
      <c r="P141" s="12" t="s">
        <v>2331</v>
      </c>
      <c r="Q141" s="24" t="s">
        <v>2332</v>
      </c>
      <c r="R141" s="12">
        <v>59196</v>
      </c>
      <c r="S141" s="13" t="s">
        <v>3</v>
      </c>
      <c r="T141" s="12" t="s">
        <v>2331</v>
      </c>
      <c r="U141" s="24" t="s">
        <v>2332</v>
      </c>
      <c r="V141" s="12">
        <v>59196</v>
      </c>
      <c r="W141" s="13" t="s">
        <v>544</v>
      </c>
      <c r="X141" s="13" t="s">
        <v>2333</v>
      </c>
      <c r="Y141" s="13" t="s">
        <v>546</v>
      </c>
      <c r="Z141" s="24" t="s">
        <v>547</v>
      </c>
      <c r="AA141" s="24" t="s">
        <v>2334</v>
      </c>
      <c r="AB141" s="24"/>
      <c r="AC141" s="24"/>
      <c r="AD141" s="24"/>
      <c r="AE141" s="24" t="s">
        <v>321</v>
      </c>
      <c r="AF141" s="24"/>
      <c r="AG141" s="24"/>
      <c r="AH141" s="24"/>
      <c r="AI141" s="24"/>
      <c r="AJ141" s="24"/>
      <c r="AK141" s="24" t="s">
        <v>322</v>
      </c>
      <c r="AL141" s="24" t="s">
        <v>2335</v>
      </c>
      <c r="AM141" s="24" t="s">
        <v>2336</v>
      </c>
      <c r="AN141" s="24">
        <v>31768</v>
      </c>
      <c r="AO141" s="24" t="s">
        <v>2337</v>
      </c>
      <c r="AP141" s="24">
        <v>59197</v>
      </c>
      <c r="AQ141" s="24" t="s">
        <v>3</v>
      </c>
      <c r="AR141" s="24" t="s">
        <v>291</v>
      </c>
      <c r="AS141" s="24" t="s">
        <v>291</v>
      </c>
      <c r="AT141" s="24"/>
    </row>
    <row r="142" spans="1:46" s="23" customFormat="1" ht="15" customHeight="1">
      <c r="A142" s="11">
        <v>140</v>
      </c>
      <c r="B142" s="12">
        <v>9329</v>
      </c>
      <c r="C142" s="12" t="s">
        <v>271</v>
      </c>
      <c r="D142" s="18" t="s">
        <v>117</v>
      </c>
      <c r="E142" s="13" t="s">
        <v>2338</v>
      </c>
      <c r="F142" s="11" t="s">
        <v>2339</v>
      </c>
      <c r="G142" s="12" t="s">
        <v>2340</v>
      </c>
      <c r="H142" s="24" t="s">
        <v>2086</v>
      </c>
      <c r="I142" s="13" t="s">
        <v>2341</v>
      </c>
      <c r="J142" s="13" t="s">
        <v>2342</v>
      </c>
      <c r="K142" s="24" t="s">
        <v>2343</v>
      </c>
      <c r="L142" s="29" t="s">
        <v>2344</v>
      </c>
      <c r="M142" s="13" t="s">
        <v>248</v>
      </c>
      <c r="N142" s="13" t="s">
        <v>2345</v>
      </c>
      <c r="O142" s="13" t="s">
        <v>4</v>
      </c>
      <c r="P142" s="12" t="s">
        <v>2346</v>
      </c>
      <c r="Q142" s="24" t="s">
        <v>2347</v>
      </c>
      <c r="R142" s="12">
        <v>533990</v>
      </c>
      <c r="S142" s="24"/>
      <c r="T142" s="24"/>
      <c r="U142" s="24"/>
      <c r="V142" s="24" t="s">
        <v>283</v>
      </c>
      <c r="W142" s="24"/>
      <c r="X142" s="24"/>
      <c r="Y142" s="24"/>
      <c r="Z142" s="24"/>
      <c r="AA142" s="24"/>
      <c r="AB142" s="13" t="s">
        <v>4</v>
      </c>
      <c r="AC142" s="12" t="s">
        <v>2346</v>
      </c>
      <c r="AD142" s="24" t="s">
        <v>2347</v>
      </c>
      <c r="AE142" s="12">
        <v>533990</v>
      </c>
      <c r="AF142" s="13" t="s">
        <v>284</v>
      </c>
      <c r="AG142" s="13" t="s">
        <v>2348</v>
      </c>
      <c r="AH142" s="13" t="s">
        <v>286</v>
      </c>
      <c r="AI142" s="24" t="s">
        <v>287</v>
      </c>
      <c r="AJ142" s="24">
        <v>58</v>
      </c>
      <c r="AK142" s="24" t="s">
        <v>2349</v>
      </c>
      <c r="AL142" s="24" t="s">
        <v>2350</v>
      </c>
      <c r="AM142" s="24" t="s">
        <v>2351</v>
      </c>
      <c r="AN142" s="24">
        <v>31351</v>
      </c>
      <c r="AO142" s="24" t="s">
        <v>2346</v>
      </c>
      <c r="AP142" s="24">
        <v>533996</v>
      </c>
      <c r="AQ142" s="24" t="s">
        <v>2113</v>
      </c>
      <c r="AR142" s="24" t="s">
        <v>291</v>
      </c>
      <c r="AS142" s="24" t="s">
        <v>291</v>
      </c>
      <c r="AT142" s="24"/>
    </row>
    <row r="143" spans="1:46" s="23" customFormat="1" ht="15" customHeight="1">
      <c r="A143" s="11">
        <v>141</v>
      </c>
      <c r="B143" s="12">
        <v>72741</v>
      </c>
      <c r="C143" s="12" t="s">
        <v>271</v>
      </c>
      <c r="D143" s="18" t="s">
        <v>121</v>
      </c>
      <c r="E143" s="13" t="s">
        <v>2352</v>
      </c>
      <c r="F143" s="11" t="s">
        <v>2353</v>
      </c>
      <c r="G143" s="12" t="s">
        <v>2354</v>
      </c>
      <c r="H143" s="24" t="s">
        <v>2086</v>
      </c>
      <c r="I143" s="13" t="s">
        <v>2355</v>
      </c>
      <c r="J143" s="13" t="s">
        <v>2356</v>
      </c>
      <c r="K143" s="24" t="s">
        <v>2357</v>
      </c>
      <c r="L143" s="13" t="s">
        <v>2358</v>
      </c>
      <c r="M143" s="13"/>
      <c r="N143" s="13" t="s">
        <v>2359</v>
      </c>
      <c r="O143" s="13" t="s">
        <v>3</v>
      </c>
      <c r="P143" s="12" t="s">
        <v>2360</v>
      </c>
      <c r="Q143" s="24" t="s">
        <v>2361</v>
      </c>
      <c r="R143" s="12">
        <v>53187</v>
      </c>
      <c r="S143" s="13" t="s">
        <v>3</v>
      </c>
      <c r="T143" s="12" t="s">
        <v>2360</v>
      </c>
      <c r="U143" s="24" t="s">
        <v>2361</v>
      </c>
      <c r="V143" s="12">
        <v>53187</v>
      </c>
      <c r="W143" s="13" t="s">
        <v>544</v>
      </c>
      <c r="X143" s="13" t="s">
        <v>2362</v>
      </c>
      <c r="Y143" s="13" t="s">
        <v>546</v>
      </c>
      <c r="Z143" s="24" t="s">
        <v>547</v>
      </c>
      <c r="AA143" s="24" t="s">
        <v>2363</v>
      </c>
      <c r="AB143" s="24"/>
      <c r="AC143" s="24"/>
      <c r="AD143" s="24"/>
      <c r="AE143" s="24" t="s">
        <v>321</v>
      </c>
      <c r="AF143" s="24"/>
      <c r="AG143" s="24"/>
      <c r="AH143" s="24"/>
      <c r="AI143" s="24"/>
      <c r="AJ143" s="24"/>
      <c r="AK143" s="24" t="s">
        <v>322</v>
      </c>
      <c r="AL143" s="24" t="s">
        <v>2364</v>
      </c>
      <c r="AM143" s="24" t="s">
        <v>2365</v>
      </c>
      <c r="AN143" s="24">
        <v>28495</v>
      </c>
      <c r="AO143" s="24" t="s">
        <v>2366</v>
      </c>
      <c r="AP143" s="24">
        <v>53188</v>
      </c>
      <c r="AQ143" s="24" t="s">
        <v>12</v>
      </c>
      <c r="AR143" s="24" t="s">
        <v>12</v>
      </c>
      <c r="AS143" s="24" t="s">
        <v>2367</v>
      </c>
      <c r="AT143" s="24"/>
    </row>
    <row r="144" spans="1:46" s="23" customFormat="1" ht="15" customHeight="1">
      <c r="A144" s="11">
        <v>142</v>
      </c>
      <c r="B144" s="12">
        <v>1627</v>
      </c>
      <c r="C144" s="12" t="s">
        <v>271</v>
      </c>
      <c r="D144" s="18" t="s">
        <v>141</v>
      </c>
      <c r="E144" s="13" t="s">
        <v>2368</v>
      </c>
      <c r="F144" s="11" t="s">
        <v>2369</v>
      </c>
      <c r="G144" s="12" t="s">
        <v>2370</v>
      </c>
      <c r="H144" s="24" t="s">
        <v>2371</v>
      </c>
      <c r="I144" s="13" t="s">
        <v>2372</v>
      </c>
      <c r="J144" s="13" t="s">
        <v>2373</v>
      </c>
      <c r="K144" s="24" t="s">
        <v>2374</v>
      </c>
      <c r="L144" s="29" t="s">
        <v>2375</v>
      </c>
      <c r="M144" s="13" t="s">
        <v>248</v>
      </c>
      <c r="N144" s="13" t="s">
        <v>2376</v>
      </c>
      <c r="O144" s="13" t="s">
        <v>4</v>
      </c>
      <c r="P144" s="12" t="s">
        <v>2377</v>
      </c>
      <c r="Q144" s="24" t="s">
        <v>2378</v>
      </c>
      <c r="R144" s="12">
        <v>721360</v>
      </c>
      <c r="S144" s="24"/>
      <c r="T144" s="24"/>
      <c r="U144" s="24"/>
      <c r="V144" s="24" t="s">
        <v>283</v>
      </c>
      <c r="W144" s="24"/>
      <c r="X144" s="24"/>
      <c r="Y144" s="24"/>
      <c r="Z144" s="24"/>
      <c r="AA144" s="24"/>
      <c r="AB144" s="13" t="s">
        <v>4</v>
      </c>
      <c r="AC144" s="12" t="s">
        <v>2377</v>
      </c>
      <c r="AD144" s="24" t="s">
        <v>2378</v>
      </c>
      <c r="AE144" s="12">
        <v>721360</v>
      </c>
      <c r="AF144" s="13" t="s">
        <v>284</v>
      </c>
      <c r="AG144" s="13" t="s">
        <v>2379</v>
      </c>
      <c r="AH144" s="13" t="s">
        <v>286</v>
      </c>
      <c r="AI144" s="24" t="s">
        <v>287</v>
      </c>
      <c r="AJ144" s="24">
        <v>318</v>
      </c>
      <c r="AK144" s="24" t="s">
        <v>2380</v>
      </c>
      <c r="AL144" s="24" t="s">
        <v>2381</v>
      </c>
      <c r="AM144" s="24" t="s">
        <v>2382</v>
      </c>
      <c r="AN144" s="24">
        <v>46535</v>
      </c>
      <c r="AO144" s="24" t="s">
        <v>2383</v>
      </c>
      <c r="AP144" s="24">
        <v>721366</v>
      </c>
      <c r="AQ144" s="24" t="s">
        <v>12</v>
      </c>
      <c r="AR144" s="24" t="s">
        <v>12</v>
      </c>
      <c r="AS144" s="24" t="s">
        <v>2384</v>
      </c>
      <c r="AT144" s="24"/>
    </row>
    <row r="145" spans="1:46" s="23" customFormat="1" ht="15" customHeight="1">
      <c r="A145" s="11">
        <v>143</v>
      </c>
      <c r="B145" s="12">
        <v>31834</v>
      </c>
      <c r="C145" s="12" t="s">
        <v>271</v>
      </c>
      <c r="D145" s="18" t="s">
        <v>130</v>
      </c>
      <c r="E145" s="13" t="s">
        <v>2385</v>
      </c>
      <c r="F145" s="11" t="s">
        <v>2386</v>
      </c>
      <c r="G145" s="12" t="s">
        <v>2387</v>
      </c>
      <c r="H145" s="24" t="s">
        <v>2371</v>
      </c>
      <c r="I145" s="13" t="s">
        <v>2388</v>
      </c>
      <c r="J145" s="13" t="s">
        <v>2389</v>
      </c>
      <c r="K145" s="24" t="s">
        <v>2390</v>
      </c>
      <c r="L145" s="29" t="s">
        <v>2391</v>
      </c>
      <c r="M145" s="13" t="s">
        <v>248</v>
      </c>
      <c r="N145" s="13" t="s">
        <v>2392</v>
      </c>
      <c r="O145" s="13" t="s">
        <v>3</v>
      </c>
      <c r="P145" s="12" t="s">
        <v>2393</v>
      </c>
      <c r="Q145" s="24" t="s">
        <v>2185</v>
      </c>
      <c r="R145" s="12">
        <v>54715</v>
      </c>
      <c r="S145" s="13" t="s">
        <v>3</v>
      </c>
      <c r="T145" s="12" t="s">
        <v>2393</v>
      </c>
      <c r="U145" s="24" t="s">
        <v>2185</v>
      </c>
      <c r="V145" s="12">
        <v>54715</v>
      </c>
      <c r="W145" s="13" t="s">
        <v>544</v>
      </c>
      <c r="X145" s="13" t="s">
        <v>2394</v>
      </c>
      <c r="Y145" s="13" t="s">
        <v>546</v>
      </c>
      <c r="Z145" s="24" t="s">
        <v>547</v>
      </c>
      <c r="AA145" s="24" t="s">
        <v>2395</v>
      </c>
      <c r="AB145" s="24"/>
      <c r="AC145" s="24"/>
      <c r="AD145" s="24"/>
      <c r="AE145" s="24" t="s">
        <v>321</v>
      </c>
      <c r="AF145" s="24"/>
      <c r="AG145" s="24"/>
      <c r="AH145" s="24"/>
      <c r="AI145" s="24"/>
      <c r="AJ145" s="24"/>
      <c r="AK145" s="24" t="s">
        <v>322</v>
      </c>
      <c r="AL145" s="24" t="s">
        <v>2396</v>
      </c>
      <c r="AM145" s="24" t="s">
        <v>2397</v>
      </c>
      <c r="AN145" s="24">
        <v>44229</v>
      </c>
      <c r="AO145" s="24" t="s">
        <v>2398</v>
      </c>
      <c r="AP145" s="24">
        <v>54716</v>
      </c>
      <c r="AQ145" s="24" t="s">
        <v>2399</v>
      </c>
      <c r="AR145" s="24" t="s">
        <v>291</v>
      </c>
      <c r="AS145" s="24" t="s">
        <v>291</v>
      </c>
      <c r="AT145" s="24"/>
    </row>
    <row r="146" spans="1:46" s="23" customFormat="1" ht="15" customHeight="1">
      <c r="A146" s="11">
        <v>144</v>
      </c>
      <c r="B146" s="12">
        <v>1955</v>
      </c>
      <c r="C146" s="12" t="s">
        <v>271</v>
      </c>
      <c r="D146" s="18" t="s">
        <v>142</v>
      </c>
      <c r="E146" s="13" t="s">
        <v>2400</v>
      </c>
      <c r="F146" s="11" t="s">
        <v>2401</v>
      </c>
      <c r="G146" s="12" t="s">
        <v>2402</v>
      </c>
      <c r="H146" s="24" t="s">
        <v>2371</v>
      </c>
      <c r="I146" s="13" t="s">
        <v>2403</v>
      </c>
      <c r="J146" s="13" t="s">
        <v>2404</v>
      </c>
      <c r="K146" s="24" t="s">
        <v>2405</v>
      </c>
      <c r="L146" s="29" t="s">
        <v>2406</v>
      </c>
      <c r="M146" s="13" t="s">
        <v>248</v>
      </c>
      <c r="N146" s="13" t="s">
        <v>2407</v>
      </c>
      <c r="O146" s="13" t="s">
        <v>3</v>
      </c>
      <c r="P146" s="12" t="s">
        <v>2408</v>
      </c>
      <c r="Q146" s="24" t="s">
        <v>2409</v>
      </c>
      <c r="R146" s="12">
        <v>64141</v>
      </c>
      <c r="S146" s="13" t="s">
        <v>3</v>
      </c>
      <c r="T146" s="12" t="s">
        <v>2408</v>
      </c>
      <c r="U146" s="24" t="s">
        <v>2409</v>
      </c>
      <c r="V146" s="12">
        <v>64141</v>
      </c>
      <c r="W146" s="13" t="s">
        <v>544</v>
      </c>
      <c r="X146" s="13" t="s">
        <v>2410</v>
      </c>
      <c r="Y146" s="13" t="s">
        <v>546</v>
      </c>
      <c r="Z146" s="24" t="s">
        <v>547</v>
      </c>
      <c r="AA146" s="24" t="s">
        <v>2411</v>
      </c>
      <c r="AB146" s="24"/>
      <c r="AC146" s="24"/>
      <c r="AD146" s="24"/>
      <c r="AE146" s="24" t="s">
        <v>321</v>
      </c>
      <c r="AF146" s="24"/>
      <c r="AG146" s="24"/>
      <c r="AH146" s="24"/>
      <c r="AI146" s="24"/>
      <c r="AJ146" s="24"/>
      <c r="AK146" s="24" t="s">
        <v>322</v>
      </c>
      <c r="AL146" s="24" t="s">
        <v>2412</v>
      </c>
      <c r="AM146" s="24" t="s">
        <v>2413</v>
      </c>
      <c r="AN146" s="24">
        <v>34345</v>
      </c>
      <c r="AO146" s="24" t="s">
        <v>2414</v>
      </c>
      <c r="AP146" s="24">
        <v>64142</v>
      </c>
      <c r="AQ146" s="24" t="s">
        <v>3</v>
      </c>
      <c r="AR146" s="24" t="s">
        <v>291</v>
      </c>
      <c r="AS146" s="24" t="s">
        <v>291</v>
      </c>
      <c r="AT146" s="24"/>
    </row>
    <row r="147" spans="1:46" s="23" customFormat="1" ht="15" customHeight="1">
      <c r="A147" s="11">
        <v>145</v>
      </c>
      <c r="B147" s="12">
        <v>8935</v>
      </c>
      <c r="C147" s="12" t="s">
        <v>271</v>
      </c>
      <c r="D147" s="18" t="s">
        <v>144</v>
      </c>
      <c r="E147" s="13" t="s">
        <v>2415</v>
      </c>
      <c r="F147" s="11" t="s">
        <v>2416</v>
      </c>
      <c r="G147" s="12" t="s">
        <v>2417</v>
      </c>
      <c r="H147" s="24" t="s">
        <v>2371</v>
      </c>
      <c r="I147" s="13" t="s">
        <v>2418</v>
      </c>
      <c r="J147" s="13" t="s">
        <v>2419</v>
      </c>
      <c r="K147" s="24" t="s">
        <v>2420</v>
      </c>
      <c r="L147" s="29" t="s">
        <v>2421</v>
      </c>
      <c r="M147" s="13" t="s">
        <v>248</v>
      </c>
      <c r="N147" s="13" t="s">
        <v>2422</v>
      </c>
      <c r="O147" s="13" t="s">
        <v>3</v>
      </c>
      <c r="P147" s="12" t="s">
        <v>2423</v>
      </c>
      <c r="Q147" s="24" t="s">
        <v>2424</v>
      </c>
      <c r="R147" s="12">
        <v>64226</v>
      </c>
      <c r="S147" s="13" t="s">
        <v>3</v>
      </c>
      <c r="T147" s="12" t="s">
        <v>2423</v>
      </c>
      <c r="U147" s="24" t="s">
        <v>2424</v>
      </c>
      <c r="V147" s="12">
        <v>64226</v>
      </c>
      <c r="W147" s="13" t="s">
        <v>544</v>
      </c>
      <c r="X147" s="13" t="s">
        <v>2425</v>
      </c>
      <c r="Y147" s="13" t="s">
        <v>546</v>
      </c>
      <c r="Z147" s="24" t="s">
        <v>547</v>
      </c>
      <c r="AA147" s="24" t="s">
        <v>2426</v>
      </c>
      <c r="AB147" s="24"/>
      <c r="AC147" s="24"/>
      <c r="AD147" s="24"/>
      <c r="AE147" s="24" t="s">
        <v>321</v>
      </c>
      <c r="AF147" s="24"/>
      <c r="AG147" s="24"/>
      <c r="AH147" s="24"/>
      <c r="AI147" s="24"/>
      <c r="AJ147" s="24"/>
      <c r="AK147" s="24" t="s">
        <v>322</v>
      </c>
      <c r="AL147" s="24" t="s">
        <v>2427</v>
      </c>
      <c r="AM147" s="24" t="s">
        <v>2428</v>
      </c>
      <c r="AN147" s="24">
        <v>35854</v>
      </c>
      <c r="AO147" s="24" t="s">
        <v>2429</v>
      </c>
      <c r="AP147" s="24">
        <v>64227</v>
      </c>
      <c r="AQ147" s="24" t="s">
        <v>3</v>
      </c>
      <c r="AR147" s="24" t="s">
        <v>291</v>
      </c>
      <c r="AS147" s="24" t="s">
        <v>291</v>
      </c>
      <c r="AT147" s="24"/>
    </row>
    <row r="148" spans="1:46" s="23" customFormat="1" ht="15" customHeight="1">
      <c r="A148" s="11">
        <v>146</v>
      </c>
      <c r="B148" s="12">
        <v>2023</v>
      </c>
      <c r="C148" s="12" t="s">
        <v>271</v>
      </c>
      <c r="D148" s="18" t="s">
        <v>138</v>
      </c>
      <c r="E148" s="13" t="s">
        <v>2430</v>
      </c>
      <c r="F148" s="11" t="s">
        <v>2431</v>
      </c>
      <c r="G148" s="12" t="s">
        <v>2432</v>
      </c>
      <c r="H148" s="24" t="s">
        <v>2371</v>
      </c>
      <c r="I148" s="13" t="s">
        <v>2433</v>
      </c>
      <c r="J148" s="13" t="s">
        <v>2434</v>
      </c>
      <c r="K148" s="24" t="s">
        <v>2435</v>
      </c>
      <c r="L148" s="13" t="s">
        <v>2436</v>
      </c>
      <c r="M148" s="13"/>
      <c r="N148" s="13" t="s">
        <v>2437</v>
      </c>
      <c r="O148" s="13" t="s">
        <v>3</v>
      </c>
      <c r="P148" s="12" t="s">
        <v>2438</v>
      </c>
      <c r="Q148" s="24" t="s">
        <v>2439</v>
      </c>
      <c r="R148" s="12">
        <v>55371</v>
      </c>
      <c r="S148" s="13" t="s">
        <v>3</v>
      </c>
      <c r="T148" s="12" t="s">
        <v>2438</v>
      </c>
      <c r="U148" s="24" t="s">
        <v>2439</v>
      </c>
      <c r="V148" s="12">
        <v>55371</v>
      </c>
      <c r="W148" s="13" t="s">
        <v>544</v>
      </c>
      <c r="X148" s="13" t="s">
        <v>2440</v>
      </c>
      <c r="Y148" s="13" t="s">
        <v>546</v>
      </c>
      <c r="Z148" s="24" t="s">
        <v>547</v>
      </c>
      <c r="AA148" s="24" t="s">
        <v>2441</v>
      </c>
      <c r="AB148" s="24"/>
      <c r="AC148" s="24"/>
      <c r="AD148" s="24"/>
      <c r="AE148" s="24" t="s">
        <v>321</v>
      </c>
      <c r="AF148" s="24"/>
      <c r="AG148" s="24"/>
      <c r="AH148" s="24"/>
      <c r="AI148" s="24"/>
      <c r="AJ148" s="24"/>
      <c r="AK148" s="24" t="s">
        <v>322</v>
      </c>
      <c r="AL148" s="24" t="s">
        <v>2442</v>
      </c>
      <c r="AM148" s="24" t="s">
        <v>2443</v>
      </c>
      <c r="AN148" s="24">
        <v>40110</v>
      </c>
      <c r="AO148" s="24" t="s">
        <v>2444</v>
      </c>
      <c r="AP148" s="24">
        <v>55372</v>
      </c>
      <c r="AQ148" s="24" t="s">
        <v>12</v>
      </c>
      <c r="AR148" s="24" t="s">
        <v>12</v>
      </c>
      <c r="AS148" s="24" t="s">
        <v>2445</v>
      </c>
      <c r="AT148" s="24"/>
    </row>
    <row r="149" spans="1:46" s="23" customFormat="1" ht="15" customHeight="1">
      <c r="A149" s="11">
        <v>147</v>
      </c>
      <c r="B149" s="12">
        <v>9341</v>
      </c>
      <c r="C149" s="12" t="s">
        <v>271</v>
      </c>
      <c r="D149" s="18" t="s">
        <v>139</v>
      </c>
      <c r="E149" s="13" t="s">
        <v>2446</v>
      </c>
      <c r="F149" s="11" t="s">
        <v>2447</v>
      </c>
      <c r="G149" s="12" t="s">
        <v>2448</v>
      </c>
      <c r="H149" s="24" t="s">
        <v>2371</v>
      </c>
      <c r="I149" s="13" t="s">
        <v>2449</v>
      </c>
      <c r="J149" s="13" t="s">
        <v>2450</v>
      </c>
      <c r="K149" s="24" t="s">
        <v>2451</v>
      </c>
      <c r="L149" s="29" t="s">
        <v>2452</v>
      </c>
      <c r="M149" s="13" t="s">
        <v>248</v>
      </c>
      <c r="N149" s="13" t="s">
        <v>2453</v>
      </c>
      <c r="O149" s="13" t="s">
        <v>4</v>
      </c>
      <c r="P149" s="12" t="s">
        <v>2454</v>
      </c>
      <c r="Q149" s="24" t="s">
        <v>2455</v>
      </c>
      <c r="R149" s="12">
        <v>561362</v>
      </c>
      <c r="S149" s="24"/>
      <c r="T149" s="24"/>
      <c r="U149" s="24"/>
      <c r="V149" s="24" t="s">
        <v>283</v>
      </c>
      <c r="W149" s="24"/>
      <c r="X149" s="24"/>
      <c r="Y149" s="24"/>
      <c r="Z149" s="24"/>
      <c r="AA149" s="24"/>
      <c r="AB149" s="13" t="s">
        <v>4</v>
      </c>
      <c r="AC149" s="12" t="s">
        <v>2454</v>
      </c>
      <c r="AD149" s="24" t="s">
        <v>2455</v>
      </c>
      <c r="AE149" s="12">
        <v>561362</v>
      </c>
      <c r="AF149" s="13" t="s">
        <v>284</v>
      </c>
      <c r="AG149" s="13" t="s">
        <v>2456</v>
      </c>
      <c r="AH149" s="13" t="s">
        <v>286</v>
      </c>
      <c r="AI149" s="24" t="s">
        <v>287</v>
      </c>
      <c r="AJ149" s="24">
        <v>67</v>
      </c>
      <c r="AK149" s="24" t="s">
        <v>2457</v>
      </c>
      <c r="AL149" s="24" t="s">
        <v>2458</v>
      </c>
      <c r="AM149" s="24" t="s">
        <v>2459</v>
      </c>
      <c r="AN149" s="24">
        <v>36947</v>
      </c>
      <c r="AO149" s="24" t="s">
        <v>2454</v>
      </c>
      <c r="AP149" s="24">
        <v>561366</v>
      </c>
      <c r="AQ149" s="24" t="s">
        <v>2113</v>
      </c>
      <c r="AR149" s="24" t="s">
        <v>291</v>
      </c>
      <c r="AS149" s="24" t="s">
        <v>291</v>
      </c>
      <c r="AT149" s="24"/>
    </row>
    <row r="150" spans="1:46" s="23" customFormat="1" ht="15" customHeight="1">
      <c r="A150" s="11">
        <v>148</v>
      </c>
      <c r="B150" s="12">
        <v>2719</v>
      </c>
      <c r="C150" s="12" t="s">
        <v>271</v>
      </c>
      <c r="D150" s="18" t="s">
        <v>143</v>
      </c>
      <c r="E150" s="13" t="s">
        <v>2460</v>
      </c>
      <c r="F150" s="11" t="s">
        <v>2461</v>
      </c>
      <c r="G150" s="12" t="s">
        <v>2462</v>
      </c>
      <c r="H150" s="24" t="s">
        <v>2371</v>
      </c>
      <c r="I150" s="13" t="s">
        <v>2463</v>
      </c>
      <c r="J150" s="13" t="s">
        <v>2464</v>
      </c>
      <c r="K150" s="24" t="s">
        <v>2465</v>
      </c>
      <c r="L150" s="29" t="s">
        <v>2466</v>
      </c>
      <c r="M150" s="13" t="s">
        <v>248</v>
      </c>
      <c r="N150" s="13" t="s">
        <v>2467</v>
      </c>
      <c r="O150" s="13" t="s">
        <v>4</v>
      </c>
      <c r="P150" s="12" t="s">
        <v>2468</v>
      </c>
      <c r="Q150" s="24" t="s">
        <v>2469</v>
      </c>
      <c r="R150" s="12">
        <v>722110</v>
      </c>
      <c r="S150" s="24"/>
      <c r="T150" s="24"/>
      <c r="U150" s="24"/>
      <c r="V150" s="24" t="s">
        <v>283</v>
      </c>
      <c r="W150" s="24"/>
      <c r="X150" s="24"/>
      <c r="Y150" s="24"/>
      <c r="Z150" s="24"/>
      <c r="AA150" s="24"/>
      <c r="AB150" s="13" t="s">
        <v>4</v>
      </c>
      <c r="AC150" s="12" t="s">
        <v>2468</v>
      </c>
      <c r="AD150" s="24" t="s">
        <v>2469</v>
      </c>
      <c r="AE150" s="12">
        <v>722110</v>
      </c>
      <c r="AF150" s="13" t="s">
        <v>284</v>
      </c>
      <c r="AG150" s="13" t="s">
        <v>2470</v>
      </c>
      <c r="AH150" s="13" t="s">
        <v>286</v>
      </c>
      <c r="AI150" s="24" t="s">
        <v>287</v>
      </c>
      <c r="AJ150" s="24">
        <v>269</v>
      </c>
      <c r="AK150" s="24" t="s">
        <v>2471</v>
      </c>
      <c r="AL150" s="24" t="s">
        <v>2472</v>
      </c>
      <c r="AM150" s="24" t="s">
        <v>2473</v>
      </c>
      <c r="AN150" s="24">
        <v>32812</v>
      </c>
      <c r="AO150" s="24" t="s">
        <v>2468</v>
      </c>
      <c r="AP150" s="24">
        <v>722116</v>
      </c>
      <c r="AQ150" s="24" t="s">
        <v>2113</v>
      </c>
      <c r="AR150" s="24" t="s">
        <v>291</v>
      </c>
      <c r="AS150" s="24" t="s">
        <v>291</v>
      </c>
      <c r="AT150" s="24"/>
    </row>
    <row r="151" spans="1:46" s="23" customFormat="1" ht="15" customHeight="1">
      <c r="A151" s="11">
        <v>149</v>
      </c>
      <c r="B151" s="12">
        <v>3563</v>
      </c>
      <c r="C151" s="12" t="s">
        <v>271</v>
      </c>
      <c r="D151" s="18" t="s">
        <v>135</v>
      </c>
      <c r="E151" s="13" t="s">
        <v>2474</v>
      </c>
      <c r="F151" s="11" t="s">
        <v>2475</v>
      </c>
      <c r="G151" s="12" t="s">
        <v>2476</v>
      </c>
      <c r="H151" s="24" t="s">
        <v>2371</v>
      </c>
      <c r="I151" s="13" t="s">
        <v>2477</v>
      </c>
      <c r="J151" s="13" t="s">
        <v>2478</v>
      </c>
      <c r="K151" s="24" t="s">
        <v>2479</v>
      </c>
      <c r="L151" s="13" t="s">
        <v>2480</v>
      </c>
      <c r="M151" s="13"/>
      <c r="N151" s="13" t="s">
        <v>2481</v>
      </c>
      <c r="O151" s="13" t="s">
        <v>3</v>
      </c>
      <c r="P151" s="12" t="s">
        <v>2482</v>
      </c>
      <c r="Q151" s="24" t="s">
        <v>2185</v>
      </c>
      <c r="R151" s="12">
        <v>54370</v>
      </c>
      <c r="S151" s="13" t="s">
        <v>3</v>
      </c>
      <c r="T151" s="12" t="s">
        <v>2482</v>
      </c>
      <c r="U151" s="24" t="s">
        <v>2185</v>
      </c>
      <c r="V151" s="12">
        <v>54370</v>
      </c>
      <c r="W151" s="13" t="s">
        <v>544</v>
      </c>
      <c r="X151" s="13" t="s">
        <v>2483</v>
      </c>
      <c r="Y151" s="13" t="s">
        <v>546</v>
      </c>
      <c r="Z151" s="24" t="s">
        <v>547</v>
      </c>
      <c r="AA151" s="24" t="s">
        <v>2484</v>
      </c>
      <c r="AB151" s="24"/>
      <c r="AC151" s="24"/>
      <c r="AD151" s="24"/>
      <c r="AE151" s="24" t="s">
        <v>321</v>
      </c>
      <c r="AF151" s="24"/>
      <c r="AG151" s="24"/>
      <c r="AH151" s="24"/>
      <c r="AI151" s="24"/>
      <c r="AJ151" s="24"/>
      <c r="AK151" s="24" t="s">
        <v>322</v>
      </c>
      <c r="AL151" s="24" t="s">
        <v>2485</v>
      </c>
      <c r="AM151" s="24" t="s">
        <v>2486</v>
      </c>
      <c r="AN151" s="24">
        <v>44251</v>
      </c>
      <c r="AO151" s="24" t="s">
        <v>2487</v>
      </c>
      <c r="AP151" s="24">
        <v>54371</v>
      </c>
      <c r="AQ151" s="24" t="s">
        <v>2399</v>
      </c>
      <c r="AR151" s="24" t="s">
        <v>291</v>
      </c>
      <c r="AS151" s="24" t="s">
        <v>291</v>
      </c>
      <c r="AT151" s="24"/>
    </row>
    <row r="152" spans="1:46" s="23" customFormat="1" ht="15" customHeight="1">
      <c r="A152" s="11">
        <v>150</v>
      </c>
      <c r="B152" s="12">
        <v>4793</v>
      </c>
      <c r="C152" s="12" t="s">
        <v>271</v>
      </c>
      <c r="D152" s="18" t="s">
        <v>148</v>
      </c>
      <c r="E152" s="13" t="s">
        <v>2488</v>
      </c>
      <c r="F152" s="11" t="s">
        <v>2489</v>
      </c>
      <c r="G152" s="12" t="s">
        <v>2490</v>
      </c>
      <c r="H152" s="24" t="s">
        <v>2371</v>
      </c>
      <c r="I152" s="13" t="s">
        <v>2491</v>
      </c>
      <c r="J152" s="13" t="s">
        <v>2492</v>
      </c>
      <c r="K152" s="24" t="s">
        <v>2493</v>
      </c>
      <c r="L152" s="29" t="s">
        <v>2494</v>
      </c>
      <c r="M152" s="13" t="s">
        <v>248</v>
      </c>
      <c r="N152" s="13" t="s">
        <v>2495</v>
      </c>
      <c r="O152" s="13" t="s">
        <v>3</v>
      </c>
      <c r="P152" s="12" t="s">
        <v>2496</v>
      </c>
      <c r="Q152" s="24" t="s">
        <v>2497</v>
      </c>
      <c r="R152" s="12">
        <v>64288</v>
      </c>
      <c r="S152" s="13" t="s">
        <v>3</v>
      </c>
      <c r="T152" s="12" t="s">
        <v>2496</v>
      </c>
      <c r="U152" s="24" t="s">
        <v>2497</v>
      </c>
      <c r="V152" s="12">
        <v>64288</v>
      </c>
      <c r="W152" s="13" t="s">
        <v>544</v>
      </c>
      <c r="X152" s="13" t="s">
        <v>2498</v>
      </c>
      <c r="Y152" s="13" t="s">
        <v>546</v>
      </c>
      <c r="Z152" s="24" t="s">
        <v>547</v>
      </c>
      <c r="AA152" s="24" t="s">
        <v>2499</v>
      </c>
      <c r="AB152" s="24"/>
      <c r="AC152" s="24"/>
      <c r="AD152" s="24"/>
      <c r="AE152" s="24" t="s">
        <v>321</v>
      </c>
      <c r="AF152" s="24"/>
      <c r="AG152" s="24"/>
      <c r="AH152" s="24"/>
      <c r="AI152" s="24"/>
      <c r="AJ152" s="24"/>
      <c r="AK152" s="24" t="s">
        <v>322</v>
      </c>
      <c r="AL152" s="24" t="s">
        <v>2500</v>
      </c>
      <c r="AM152" s="24" t="s">
        <v>2501</v>
      </c>
      <c r="AN152" s="24">
        <v>44314</v>
      </c>
      <c r="AO152" s="24" t="s">
        <v>2502</v>
      </c>
      <c r="AP152" s="24">
        <v>64289</v>
      </c>
      <c r="AQ152" s="24" t="s">
        <v>2399</v>
      </c>
      <c r="AR152" s="24" t="s">
        <v>291</v>
      </c>
      <c r="AS152" s="24" t="s">
        <v>291</v>
      </c>
      <c r="AT152" s="24"/>
    </row>
    <row r="153" spans="1:46" s="23" customFormat="1" ht="15" customHeight="1">
      <c r="A153" s="11">
        <v>151</v>
      </c>
      <c r="B153" s="12">
        <v>32647</v>
      </c>
      <c r="C153" s="12" t="s">
        <v>271</v>
      </c>
      <c r="D153" s="18" t="s">
        <v>2503</v>
      </c>
      <c r="E153" s="13" t="s">
        <v>2504</v>
      </c>
      <c r="F153" s="11" t="s">
        <v>2505</v>
      </c>
      <c r="G153" s="12" t="s">
        <v>2506</v>
      </c>
      <c r="H153" s="24" t="s">
        <v>2371</v>
      </c>
      <c r="I153" s="11" t="s">
        <v>2507</v>
      </c>
      <c r="J153" s="11" t="s">
        <v>2508</v>
      </c>
      <c r="K153" s="24" t="s">
        <v>2509</v>
      </c>
      <c r="L153" s="11"/>
      <c r="M153" s="13"/>
      <c r="N153" s="13" t="s">
        <v>2510</v>
      </c>
      <c r="O153" s="13" t="s">
        <v>4</v>
      </c>
      <c r="P153" s="12" t="s">
        <v>2511</v>
      </c>
      <c r="Q153" s="24" t="s">
        <v>2512</v>
      </c>
      <c r="R153" s="12">
        <v>727710</v>
      </c>
      <c r="S153" s="24"/>
      <c r="T153" s="24"/>
      <c r="U153" s="24"/>
      <c r="V153" s="24" t="s">
        <v>283</v>
      </c>
      <c r="W153" s="24"/>
      <c r="X153" s="24"/>
      <c r="Y153" s="24"/>
      <c r="Z153" s="24"/>
      <c r="AA153" s="24"/>
      <c r="AB153" s="13" t="s">
        <v>4</v>
      </c>
      <c r="AC153" s="12" t="s">
        <v>2511</v>
      </c>
      <c r="AD153" s="24" t="s">
        <v>2512</v>
      </c>
      <c r="AE153" s="12">
        <v>727710</v>
      </c>
      <c r="AF153" s="13" t="s">
        <v>284</v>
      </c>
      <c r="AG153" s="13" t="s">
        <v>2513</v>
      </c>
      <c r="AH153" s="13" t="s">
        <v>286</v>
      </c>
      <c r="AI153" s="24" t="s">
        <v>287</v>
      </c>
      <c r="AJ153" s="24"/>
      <c r="AK153" s="24"/>
      <c r="AL153" s="24" t="s">
        <v>2514</v>
      </c>
      <c r="AM153" s="24" t="s">
        <v>2515</v>
      </c>
      <c r="AN153" s="24">
        <v>46023</v>
      </c>
      <c r="AO153" s="24" t="s">
        <v>2511</v>
      </c>
      <c r="AP153" s="24">
        <v>727716</v>
      </c>
      <c r="AQ153" s="24" t="s">
        <v>4</v>
      </c>
      <c r="AR153" s="24" t="s">
        <v>291</v>
      </c>
      <c r="AS153" s="24" t="s">
        <v>291</v>
      </c>
      <c r="AT153" s="24"/>
    </row>
    <row r="154" spans="1:46" s="23" customFormat="1" ht="15" customHeight="1">
      <c r="A154" s="11">
        <v>152</v>
      </c>
      <c r="B154" s="12">
        <v>5753</v>
      </c>
      <c r="C154" s="12" t="s">
        <v>271</v>
      </c>
      <c r="D154" s="18" t="s">
        <v>126</v>
      </c>
      <c r="E154" s="13" t="s">
        <v>2516</v>
      </c>
      <c r="F154" s="11" t="s">
        <v>2517</v>
      </c>
      <c r="G154" s="12" t="s">
        <v>2518</v>
      </c>
      <c r="H154" s="24" t="s">
        <v>2371</v>
      </c>
      <c r="I154" s="13" t="s">
        <v>2519</v>
      </c>
      <c r="J154" s="13" t="s">
        <v>2520</v>
      </c>
      <c r="K154" s="24" t="s">
        <v>2521</v>
      </c>
      <c r="L154" s="29" t="s">
        <v>2522</v>
      </c>
      <c r="M154" s="13" t="s">
        <v>248</v>
      </c>
      <c r="N154" s="13" t="s">
        <v>2523</v>
      </c>
      <c r="O154" s="13" t="s">
        <v>4</v>
      </c>
      <c r="P154" s="12" t="s">
        <v>2524</v>
      </c>
      <c r="Q154" s="24" t="s">
        <v>2185</v>
      </c>
      <c r="R154" s="12">
        <v>551070</v>
      </c>
      <c r="S154" s="24"/>
      <c r="T154" s="24"/>
      <c r="U154" s="24"/>
      <c r="V154" s="24" t="s">
        <v>283</v>
      </c>
      <c r="W154" s="24"/>
      <c r="X154" s="24"/>
      <c r="Y154" s="24"/>
      <c r="Z154" s="24"/>
      <c r="AA154" s="24"/>
      <c r="AB154" s="13" t="s">
        <v>4</v>
      </c>
      <c r="AC154" s="12" t="s">
        <v>2524</v>
      </c>
      <c r="AD154" s="24" t="s">
        <v>2185</v>
      </c>
      <c r="AE154" s="12">
        <v>551070</v>
      </c>
      <c r="AF154" s="13" t="s">
        <v>284</v>
      </c>
      <c r="AG154" s="13" t="s">
        <v>2525</v>
      </c>
      <c r="AH154" s="13" t="s">
        <v>286</v>
      </c>
      <c r="AI154" s="24" t="s">
        <v>287</v>
      </c>
      <c r="AJ154" s="24">
        <v>175</v>
      </c>
      <c r="AK154" s="24" t="s">
        <v>2526</v>
      </c>
      <c r="AL154" s="24" t="s">
        <v>2527</v>
      </c>
      <c r="AM154" s="24" t="s">
        <v>2528</v>
      </c>
      <c r="AN154" s="24">
        <v>42805</v>
      </c>
      <c r="AO154" s="24" t="s">
        <v>2524</v>
      </c>
      <c r="AP154" s="24">
        <v>551076</v>
      </c>
      <c r="AQ154" s="24" t="s">
        <v>12</v>
      </c>
      <c r="AR154" s="24" t="s">
        <v>12</v>
      </c>
      <c r="AS154" s="24" t="s">
        <v>2529</v>
      </c>
      <c r="AT154" s="24"/>
    </row>
    <row r="155" spans="1:46" s="23" customFormat="1" ht="15" customHeight="1">
      <c r="A155" s="11">
        <v>153</v>
      </c>
      <c r="B155" s="12">
        <v>8936</v>
      </c>
      <c r="C155" s="12" t="s">
        <v>271</v>
      </c>
      <c r="D155" s="18" t="s">
        <v>127</v>
      </c>
      <c r="E155" s="13" t="s">
        <v>2530</v>
      </c>
      <c r="F155" s="11" t="s">
        <v>2531</v>
      </c>
      <c r="G155" s="12" t="s">
        <v>2532</v>
      </c>
      <c r="H155" s="24" t="s">
        <v>2371</v>
      </c>
      <c r="I155" s="13" t="s">
        <v>2533</v>
      </c>
      <c r="J155" s="13" t="s">
        <v>2534</v>
      </c>
      <c r="K155" s="24" t="s">
        <v>2535</v>
      </c>
      <c r="L155" s="13" t="s">
        <v>2536</v>
      </c>
      <c r="M155" s="13"/>
      <c r="N155" s="13" t="s">
        <v>2537</v>
      </c>
      <c r="O155" s="13" t="s">
        <v>4</v>
      </c>
      <c r="P155" s="12" t="s">
        <v>2538</v>
      </c>
      <c r="Q155" s="24" t="s">
        <v>2185</v>
      </c>
      <c r="R155" s="12">
        <v>554260</v>
      </c>
      <c r="S155" s="24"/>
      <c r="T155" s="24"/>
      <c r="U155" s="24"/>
      <c r="V155" s="24" t="s">
        <v>283</v>
      </c>
      <c r="W155" s="24"/>
      <c r="X155" s="24"/>
      <c r="Y155" s="24"/>
      <c r="Z155" s="24"/>
      <c r="AA155" s="24"/>
      <c r="AB155" s="13" t="s">
        <v>4</v>
      </c>
      <c r="AC155" s="12" t="s">
        <v>2538</v>
      </c>
      <c r="AD155" s="24" t="s">
        <v>2185</v>
      </c>
      <c r="AE155" s="12">
        <v>554260</v>
      </c>
      <c r="AF155" s="13" t="s">
        <v>284</v>
      </c>
      <c r="AG155" s="13" t="s">
        <v>2539</v>
      </c>
      <c r="AH155" s="13" t="s">
        <v>286</v>
      </c>
      <c r="AI155" s="24" t="s">
        <v>287</v>
      </c>
      <c r="AJ155" s="24">
        <v>171</v>
      </c>
      <c r="AK155" s="24" t="s">
        <v>2540</v>
      </c>
      <c r="AL155" s="24" t="s">
        <v>2541</v>
      </c>
      <c r="AM155" s="24" t="s">
        <v>2542</v>
      </c>
      <c r="AN155" s="24">
        <v>42672</v>
      </c>
      <c r="AO155" s="24" t="s">
        <v>2538</v>
      </c>
      <c r="AP155" s="24">
        <v>554266</v>
      </c>
      <c r="AQ155" s="24" t="s">
        <v>2113</v>
      </c>
      <c r="AR155" s="24" t="s">
        <v>291</v>
      </c>
      <c r="AS155" s="24" t="s">
        <v>291</v>
      </c>
      <c r="AT155" s="24"/>
    </row>
    <row r="156" spans="1:46" s="23" customFormat="1" ht="15" customHeight="1">
      <c r="A156" s="11">
        <v>154</v>
      </c>
      <c r="B156" s="12">
        <v>5761</v>
      </c>
      <c r="C156" s="12" t="s">
        <v>271</v>
      </c>
      <c r="D156" s="18" t="s">
        <v>140</v>
      </c>
      <c r="E156" s="13" t="s">
        <v>2543</v>
      </c>
      <c r="F156" s="11" t="s">
        <v>2544</v>
      </c>
      <c r="G156" s="12" t="s">
        <v>2545</v>
      </c>
      <c r="H156" s="24" t="s">
        <v>2371</v>
      </c>
      <c r="I156" s="13" t="s">
        <v>2546</v>
      </c>
      <c r="J156" s="13" t="s">
        <v>2547</v>
      </c>
      <c r="K156" s="24" t="s">
        <v>2548</v>
      </c>
      <c r="L156" s="13" t="s">
        <v>2549</v>
      </c>
      <c r="M156" s="13"/>
      <c r="N156" s="13" t="s">
        <v>2550</v>
      </c>
      <c r="O156" s="13" t="s">
        <v>4</v>
      </c>
      <c r="P156" s="12" t="s">
        <v>2551</v>
      </c>
      <c r="Q156" s="24" t="s">
        <v>2552</v>
      </c>
      <c r="R156" s="12">
        <v>586740</v>
      </c>
      <c r="S156" s="24"/>
      <c r="T156" s="24"/>
      <c r="U156" s="24"/>
      <c r="V156" s="24" t="s">
        <v>283</v>
      </c>
      <c r="W156" s="24"/>
      <c r="X156" s="24"/>
      <c r="Y156" s="24"/>
      <c r="Z156" s="24"/>
      <c r="AA156" s="24"/>
      <c r="AB156" s="13" t="s">
        <v>4</v>
      </c>
      <c r="AC156" s="12" t="s">
        <v>2551</v>
      </c>
      <c r="AD156" s="24" t="s">
        <v>2552</v>
      </c>
      <c r="AE156" s="12">
        <v>586740</v>
      </c>
      <c r="AF156" s="13" t="s">
        <v>284</v>
      </c>
      <c r="AG156" s="13" t="s">
        <v>2553</v>
      </c>
      <c r="AH156" s="13" t="s">
        <v>286</v>
      </c>
      <c r="AI156" s="24" t="s">
        <v>287</v>
      </c>
      <c r="AJ156" s="24">
        <v>15</v>
      </c>
      <c r="AK156" s="24" t="s">
        <v>2554</v>
      </c>
      <c r="AL156" s="24" t="s">
        <v>2555</v>
      </c>
      <c r="AM156" s="24" t="s">
        <v>2556</v>
      </c>
      <c r="AN156" s="24">
        <v>39913</v>
      </c>
      <c r="AO156" s="24" t="s">
        <v>2551</v>
      </c>
      <c r="AP156" s="24">
        <v>586746</v>
      </c>
      <c r="AQ156" s="24" t="s">
        <v>2113</v>
      </c>
      <c r="AR156" s="24" t="s">
        <v>291</v>
      </c>
      <c r="AS156" s="24" t="s">
        <v>291</v>
      </c>
      <c r="AT156" s="24"/>
    </row>
    <row r="157" spans="1:46" s="23" customFormat="1" ht="15" customHeight="1">
      <c r="A157" s="11">
        <v>155</v>
      </c>
      <c r="B157" s="12">
        <v>8918</v>
      </c>
      <c r="C157" s="12" t="s">
        <v>271</v>
      </c>
      <c r="D157" s="18" t="s">
        <v>145</v>
      </c>
      <c r="E157" s="13" t="s">
        <v>2557</v>
      </c>
      <c r="F157" s="11" t="s">
        <v>2558</v>
      </c>
      <c r="G157" s="12" t="s">
        <v>2559</v>
      </c>
      <c r="H157" s="24" t="s">
        <v>2371</v>
      </c>
      <c r="I157" s="13" t="s">
        <v>2560</v>
      </c>
      <c r="J157" s="13" t="s">
        <v>2561</v>
      </c>
      <c r="K157" s="24" t="s">
        <v>2562</v>
      </c>
      <c r="L157" s="29" t="s">
        <v>2563</v>
      </c>
      <c r="M157" s="13" t="s">
        <v>248</v>
      </c>
      <c r="N157" s="13" t="s">
        <v>2564</v>
      </c>
      <c r="O157" s="13" t="s">
        <v>4</v>
      </c>
      <c r="P157" s="12" t="s">
        <v>2565</v>
      </c>
      <c r="Q157" s="24" t="s">
        <v>2378</v>
      </c>
      <c r="R157" s="12">
        <v>723700</v>
      </c>
      <c r="S157" s="24"/>
      <c r="T157" s="24"/>
      <c r="U157" s="24"/>
      <c r="V157" s="24" t="s">
        <v>283</v>
      </c>
      <c r="W157" s="24"/>
      <c r="X157" s="24"/>
      <c r="Y157" s="24"/>
      <c r="Z157" s="24"/>
      <c r="AA157" s="24"/>
      <c r="AB157" s="13" t="s">
        <v>4</v>
      </c>
      <c r="AC157" s="12" t="s">
        <v>2565</v>
      </c>
      <c r="AD157" s="24" t="s">
        <v>2378</v>
      </c>
      <c r="AE157" s="12">
        <v>723700</v>
      </c>
      <c r="AF157" s="13" t="s">
        <v>284</v>
      </c>
      <c r="AG157" s="13" t="s">
        <v>2566</v>
      </c>
      <c r="AH157" s="13" t="s">
        <v>286</v>
      </c>
      <c r="AI157" s="24" t="s">
        <v>287</v>
      </c>
      <c r="AJ157" s="24">
        <v>177</v>
      </c>
      <c r="AK157" s="24" t="s">
        <v>2567</v>
      </c>
      <c r="AL157" s="24" t="s">
        <v>2568</v>
      </c>
      <c r="AM157" s="24" t="s">
        <v>2569</v>
      </c>
      <c r="AN157" s="24">
        <v>42914</v>
      </c>
      <c r="AO157" s="24" t="s">
        <v>2565</v>
      </c>
      <c r="AP157" s="24">
        <v>723706</v>
      </c>
      <c r="AQ157" s="24" t="s">
        <v>2113</v>
      </c>
      <c r="AR157" s="24" t="s">
        <v>291</v>
      </c>
      <c r="AS157" s="24" t="s">
        <v>291</v>
      </c>
      <c r="AT157" s="24"/>
    </row>
    <row r="158" spans="1:46" s="23" customFormat="1" ht="15" customHeight="1">
      <c r="A158" s="11">
        <v>156</v>
      </c>
      <c r="B158" s="12">
        <v>8932</v>
      </c>
      <c r="C158" s="12" t="s">
        <v>271</v>
      </c>
      <c r="D158" s="18" t="s">
        <v>131</v>
      </c>
      <c r="E158" s="13" t="s">
        <v>2570</v>
      </c>
      <c r="F158" s="11" t="s">
        <v>2571</v>
      </c>
      <c r="G158" s="12" t="s">
        <v>2572</v>
      </c>
      <c r="H158" s="24" t="s">
        <v>2371</v>
      </c>
      <c r="I158" s="13" t="s">
        <v>2573</v>
      </c>
      <c r="J158" s="13" t="s">
        <v>2574</v>
      </c>
      <c r="K158" s="24" t="s">
        <v>2575</v>
      </c>
      <c r="L158" s="29" t="s">
        <v>2576</v>
      </c>
      <c r="M158" s="13" t="s">
        <v>248</v>
      </c>
      <c r="N158" s="13" t="s">
        <v>2577</v>
      </c>
      <c r="O158" s="13" t="s">
        <v>4</v>
      </c>
      <c r="P158" s="12" t="s">
        <v>2578</v>
      </c>
      <c r="Q158" s="24" t="s">
        <v>2185</v>
      </c>
      <c r="R158" s="12">
        <v>551790</v>
      </c>
      <c r="S158" s="24"/>
      <c r="T158" s="24"/>
      <c r="U158" s="24"/>
      <c r="V158" s="24" t="s">
        <v>283</v>
      </c>
      <c r="W158" s="24"/>
      <c r="X158" s="24"/>
      <c r="Y158" s="24"/>
      <c r="Z158" s="24"/>
      <c r="AA158" s="24"/>
      <c r="AB158" s="13" t="s">
        <v>4</v>
      </c>
      <c r="AC158" s="12" t="s">
        <v>2578</v>
      </c>
      <c r="AD158" s="24" t="s">
        <v>2185</v>
      </c>
      <c r="AE158" s="12">
        <v>551790</v>
      </c>
      <c r="AF158" s="13" t="s">
        <v>284</v>
      </c>
      <c r="AG158" s="13" t="s">
        <v>2579</v>
      </c>
      <c r="AH158" s="13" t="s">
        <v>286</v>
      </c>
      <c r="AI158" s="24" t="s">
        <v>287</v>
      </c>
      <c r="AJ158" s="24">
        <v>3</v>
      </c>
      <c r="AK158" s="24" t="s">
        <v>2580</v>
      </c>
      <c r="AL158" s="24" t="s">
        <v>2581</v>
      </c>
      <c r="AM158" s="24" t="s">
        <v>2582</v>
      </c>
      <c r="AN158" s="24">
        <v>38214</v>
      </c>
      <c r="AO158" s="24" t="s">
        <v>2578</v>
      </c>
      <c r="AP158" s="24">
        <v>551796</v>
      </c>
      <c r="AQ158" s="24" t="s">
        <v>2113</v>
      </c>
      <c r="AR158" s="24" t="s">
        <v>291</v>
      </c>
      <c r="AS158" s="24" t="s">
        <v>291</v>
      </c>
      <c r="AT158" s="24"/>
    </row>
    <row r="159" spans="1:46" s="23" customFormat="1" ht="15" customHeight="1">
      <c r="A159" s="11">
        <v>157</v>
      </c>
      <c r="B159" s="12">
        <v>8961</v>
      </c>
      <c r="C159" s="12" t="s">
        <v>271</v>
      </c>
      <c r="D159" s="18" t="s">
        <v>146</v>
      </c>
      <c r="E159" s="13" t="s">
        <v>2583</v>
      </c>
      <c r="F159" s="11" t="s">
        <v>2584</v>
      </c>
      <c r="G159" s="12" t="s">
        <v>2585</v>
      </c>
      <c r="H159" s="24" t="s">
        <v>2371</v>
      </c>
      <c r="I159" s="13" t="s">
        <v>2586</v>
      </c>
      <c r="J159" s="13" t="s">
        <v>2587</v>
      </c>
      <c r="K159" s="24" t="s">
        <v>2588</v>
      </c>
      <c r="L159" s="29" t="s">
        <v>2589</v>
      </c>
      <c r="M159" s="13" t="s">
        <v>248</v>
      </c>
      <c r="N159" s="13" t="s">
        <v>2590</v>
      </c>
      <c r="O159" s="13" t="s">
        <v>4</v>
      </c>
      <c r="P159" s="12" t="s">
        <v>2591</v>
      </c>
      <c r="Q159" s="24" t="s">
        <v>2409</v>
      </c>
      <c r="R159" s="12">
        <v>729010</v>
      </c>
      <c r="S159" s="24"/>
      <c r="T159" s="24"/>
      <c r="U159" s="24"/>
      <c r="V159" s="24" t="s">
        <v>283</v>
      </c>
      <c r="W159" s="24"/>
      <c r="X159" s="24"/>
      <c r="Y159" s="24"/>
      <c r="Z159" s="24"/>
      <c r="AA159" s="24"/>
      <c r="AB159" s="13" t="s">
        <v>4</v>
      </c>
      <c r="AC159" s="12" t="s">
        <v>2591</v>
      </c>
      <c r="AD159" s="24" t="s">
        <v>2409</v>
      </c>
      <c r="AE159" s="12">
        <v>729010</v>
      </c>
      <c r="AF159" s="13" t="s">
        <v>284</v>
      </c>
      <c r="AG159" s="13" t="s">
        <v>2592</v>
      </c>
      <c r="AH159" s="13" t="s">
        <v>286</v>
      </c>
      <c r="AI159" s="24" t="s">
        <v>287</v>
      </c>
      <c r="AJ159" s="24">
        <v>90</v>
      </c>
      <c r="AK159" s="24" t="s">
        <v>2593</v>
      </c>
      <c r="AL159" s="24" t="s">
        <v>2594</v>
      </c>
      <c r="AM159" s="24" t="s">
        <v>2595</v>
      </c>
      <c r="AN159" s="24">
        <v>35682</v>
      </c>
      <c r="AO159" s="24" t="s">
        <v>2591</v>
      </c>
      <c r="AP159" s="24">
        <v>729016</v>
      </c>
      <c r="AQ159" s="24" t="s">
        <v>2113</v>
      </c>
      <c r="AR159" s="24" t="s">
        <v>291</v>
      </c>
      <c r="AS159" s="24" t="s">
        <v>291</v>
      </c>
      <c r="AT159" s="24"/>
    </row>
    <row r="160" spans="1:46" s="23" customFormat="1" ht="15" customHeight="1">
      <c r="A160" s="11">
        <v>158</v>
      </c>
      <c r="B160" s="12">
        <v>9375</v>
      </c>
      <c r="C160" s="12" t="s">
        <v>271</v>
      </c>
      <c r="D160" s="18" t="s">
        <v>147</v>
      </c>
      <c r="E160" s="13" t="s">
        <v>2596</v>
      </c>
      <c r="F160" s="11" t="s">
        <v>2597</v>
      </c>
      <c r="G160" s="12" t="s">
        <v>2598</v>
      </c>
      <c r="H160" s="24" t="s">
        <v>2371</v>
      </c>
      <c r="I160" s="13" t="s">
        <v>2599</v>
      </c>
      <c r="J160" s="13" t="s">
        <v>2600</v>
      </c>
      <c r="K160" s="24" t="s">
        <v>2601</v>
      </c>
      <c r="L160" s="13" t="s">
        <v>2602</v>
      </c>
      <c r="M160" s="13"/>
      <c r="N160" s="13" t="s">
        <v>2603</v>
      </c>
      <c r="O160" s="13" t="s">
        <v>3</v>
      </c>
      <c r="P160" s="12" t="s">
        <v>2604</v>
      </c>
      <c r="Q160" s="24" t="s">
        <v>2605</v>
      </c>
      <c r="R160" s="12">
        <v>64315</v>
      </c>
      <c r="S160" s="13" t="s">
        <v>3</v>
      </c>
      <c r="T160" s="12" t="s">
        <v>2604</v>
      </c>
      <c r="U160" s="24" t="s">
        <v>2605</v>
      </c>
      <c r="V160" s="12">
        <v>64315</v>
      </c>
      <c r="W160" s="13" t="s">
        <v>544</v>
      </c>
      <c r="X160" s="13" t="s">
        <v>2606</v>
      </c>
      <c r="Y160" s="13" t="s">
        <v>546</v>
      </c>
      <c r="Z160" s="24" t="s">
        <v>547</v>
      </c>
      <c r="AA160" s="24" t="s">
        <v>2607</v>
      </c>
      <c r="AB160" s="24"/>
      <c r="AC160" s="24"/>
      <c r="AD160" s="24"/>
      <c r="AE160" s="24" t="s">
        <v>321</v>
      </c>
      <c r="AF160" s="24"/>
      <c r="AG160" s="24"/>
      <c r="AH160" s="24"/>
      <c r="AI160" s="24"/>
      <c r="AJ160" s="24"/>
      <c r="AK160" s="24" t="s">
        <v>322</v>
      </c>
      <c r="AL160" s="24" t="s">
        <v>2608</v>
      </c>
      <c r="AM160" s="24" t="s">
        <v>2609</v>
      </c>
      <c r="AN160" s="24">
        <v>29813</v>
      </c>
      <c r="AO160" s="24" t="s">
        <v>2610</v>
      </c>
      <c r="AP160" s="24">
        <v>64316</v>
      </c>
      <c r="AQ160" s="24" t="s">
        <v>12</v>
      </c>
      <c r="AR160" s="24" t="s">
        <v>12</v>
      </c>
      <c r="AS160" s="24" t="s">
        <v>2611</v>
      </c>
      <c r="AT160" s="24"/>
    </row>
    <row r="161" spans="1:46" s="23" customFormat="1" ht="15" customHeight="1">
      <c r="A161" s="11">
        <v>159</v>
      </c>
      <c r="B161" s="12">
        <v>8985</v>
      </c>
      <c r="C161" s="12" t="s">
        <v>271</v>
      </c>
      <c r="D161" s="18" t="s">
        <v>2612</v>
      </c>
      <c r="E161" s="13" t="s">
        <v>2613</v>
      </c>
      <c r="F161" s="11" t="s">
        <v>2614</v>
      </c>
      <c r="G161" s="12" t="s">
        <v>2615</v>
      </c>
      <c r="H161" s="24" t="s">
        <v>2371</v>
      </c>
      <c r="I161" s="13" t="s">
        <v>2616</v>
      </c>
      <c r="J161" s="13" t="s">
        <v>2617</v>
      </c>
      <c r="K161" s="24" t="s">
        <v>2618</v>
      </c>
      <c r="L161" s="13" t="s">
        <v>2619</v>
      </c>
      <c r="M161" s="13"/>
      <c r="N161" s="13" t="s">
        <v>2620</v>
      </c>
      <c r="O161" s="13" t="s">
        <v>4</v>
      </c>
      <c r="P161" s="12" t="s">
        <v>2260</v>
      </c>
      <c r="Q161" s="24" t="s">
        <v>2185</v>
      </c>
      <c r="R161" s="12">
        <v>557300</v>
      </c>
      <c r="S161" s="24"/>
      <c r="T161" s="24"/>
      <c r="U161" s="24"/>
      <c r="V161" s="24" t="s">
        <v>283</v>
      </c>
      <c r="W161" s="24"/>
      <c r="X161" s="24"/>
      <c r="Y161" s="24"/>
      <c r="Z161" s="24"/>
      <c r="AA161" s="24"/>
      <c r="AB161" s="13" t="s">
        <v>4</v>
      </c>
      <c r="AC161" s="12" t="s">
        <v>2260</v>
      </c>
      <c r="AD161" s="24" t="s">
        <v>2185</v>
      </c>
      <c r="AE161" s="12">
        <v>557300</v>
      </c>
      <c r="AF161" s="13" t="s">
        <v>284</v>
      </c>
      <c r="AG161" s="13" t="s">
        <v>2621</v>
      </c>
      <c r="AH161" s="13" t="s">
        <v>286</v>
      </c>
      <c r="AI161" s="24" t="s">
        <v>287</v>
      </c>
      <c r="AJ161" s="24">
        <v>8</v>
      </c>
      <c r="AK161" s="24" t="s">
        <v>2622</v>
      </c>
      <c r="AL161" s="24" t="s">
        <v>2623</v>
      </c>
      <c r="AM161" s="24" t="s">
        <v>2624</v>
      </c>
      <c r="AN161" s="24">
        <v>38995</v>
      </c>
      <c r="AO161" s="25" t="s">
        <v>1544</v>
      </c>
      <c r="AP161" s="24">
        <v>557306</v>
      </c>
      <c r="AQ161" s="24" t="s">
        <v>12</v>
      </c>
      <c r="AR161" s="24" t="s">
        <v>12</v>
      </c>
      <c r="AS161" s="24" t="s">
        <v>2625</v>
      </c>
      <c r="AT161" s="24" t="s">
        <v>2626</v>
      </c>
    </row>
    <row r="162" spans="1:46" s="23" customFormat="1" ht="15" customHeight="1">
      <c r="A162" s="11">
        <v>160</v>
      </c>
      <c r="B162" s="12">
        <v>9388</v>
      </c>
      <c r="C162" s="12" t="s">
        <v>271</v>
      </c>
      <c r="D162" s="18" t="s">
        <v>149</v>
      </c>
      <c r="E162" s="13" t="s">
        <v>2627</v>
      </c>
      <c r="F162" s="11" t="s">
        <v>2628</v>
      </c>
      <c r="G162" s="12" t="s">
        <v>2629</v>
      </c>
      <c r="H162" s="24" t="s">
        <v>2371</v>
      </c>
      <c r="I162" s="13" t="s">
        <v>2630</v>
      </c>
      <c r="J162" s="13" t="s">
        <v>2631</v>
      </c>
      <c r="K162" s="24" t="s">
        <v>2632</v>
      </c>
      <c r="L162" s="29" t="s">
        <v>2633</v>
      </c>
      <c r="M162" s="13" t="s">
        <v>248</v>
      </c>
      <c r="N162" s="13" t="s">
        <v>2634</v>
      </c>
      <c r="O162" s="13" t="s">
        <v>3</v>
      </c>
      <c r="P162" s="12" t="s">
        <v>2635</v>
      </c>
      <c r="Q162" s="24" t="s">
        <v>2636</v>
      </c>
      <c r="R162" s="12">
        <v>64023</v>
      </c>
      <c r="S162" s="13" t="s">
        <v>3</v>
      </c>
      <c r="T162" s="12" t="s">
        <v>2635</v>
      </c>
      <c r="U162" s="24" t="s">
        <v>2636</v>
      </c>
      <c r="V162" s="12">
        <v>64023</v>
      </c>
      <c r="W162" s="13" t="s">
        <v>544</v>
      </c>
      <c r="X162" s="13" t="s">
        <v>2637</v>
      </c>
      <c r="Y162" s="13" t="s">
        <v>546</v>
      </c>
      <c r="Z162" s="24" t="s">
        <v>547</v>
      </c>
      <c r="AA162" s="24" t="s">
        <v>2638</v>
      </c>
      <c r="AB162" s="24"/>
      <c r="AC162" s="24"/>
      <c r="AD162" s="24"/>
      <c r="AE162" s="24" t="s">
        <v>321</v>
      </c>
      <c r="AF162" s="24"/>
      <c r="AG162" s="24"/>
      <c r="AH162" s="24"/>
      <c r="AI162" s="24"/>
      <c r="AJ162" s="24"/>
      <c r="AK162" s="24" t="s">
        <v>322</v>
      </c>
      <c r="AL162" s="24" t="s">
        <v>2639</v>
      </c>
      <c r="AM162" s="24" t="s">
        <v>2640</v>
      </c>
      <c r="AN162" s="24">
        <v>27994</v>
      </c>
      <c r="AO162" s="24" t="s">
        <v>2641</v>
      </c>
      <c r="AP162" s="24">
        <v>64024</v>
      </c>
      <c r="AQ162" s="24" t="s">
        <v>2399</v>
      </c>
      <c r="AR162" s="24" t="s">
        <v>291</v>
      </c>
      <c r="AS162" s="24" t="s">
        <v>291</v>
      </c>
      <c r="AT162" s="24"/>
    </row>
    <row r="163" spans="1:46" s="23" customFormat="1" ht="15" customHeight="1">
      <c r="A163" s="11">
        <v>161</v>
      </c>
      <c r="B163" s="12">
        <v>8970</v>
      </c>
      <c r="C163" s="12" t="s">
        <v>271</v>
      </c>
      <c r="D163" s="18" t="s">
        <v>136</v>
      </c>
      <c r="E163" s="13" t="s">
        <v>2642</v>
      </c>
      <c r="F163" s="11" t="s">
        <v>2643</v>
      </c>
      <c r="G163" s="12" t="s">
        <v>2644</v>
      </c>
      <c r="H163" s="24" t="s">
        <v>2371</v>
      </c>
      <c r="I163" s="13" t="s">
        <v>2645</v>
      </c>
      <c r="J163" s="13" t="s">
        <v>2646</v>
      </c>
      <c r="K163" s="24" t="s">
        <v>2647</v>
      </c>
      <c r="L163" s="29" t="s">
        <v>2648</v>
      </c>
      <c r="M163" s="13" t="s">
        <v>248</v>
      </c>
      <c r="N163" s="13" t="s">
        <v>2649</v>
      </c>
      <c r="O163" s="13" t="s">
        <v>3</v>
      </c>
      <c r="P163" s="12" t="s">
        <v>2650</v>
      </c>
      <c r="Q163" s="24" t="s">
        <v>2185</v>
      </c>
      <c r="R163" s="12">
        <v>54419</v>
      </c>
      <c r="S163" s="13" t="s">
        <v>3</v>
      </c>
      <c r="T163" s="12" t="s">
        <v>2650</v>
      </c>
      <c r="U163" s="24" t="s">
        <v>2185</v>
      </c>
      <c r="V163" s="12">
        <v>54419</v>
      </c>
      <c r="W163" s="13" t="s">
        <v>544</v>
      </c>
      <c r="X163" s="13" t="s">
        <v>2651</v>
      </c>
      <c r="Y163" s="13" t="s">
        <v>546</v>
      </c>
      <c r="Z163" s="24" t="s">
        <v>547</v>
      </c>
      <c r="AA163" s="24" t="s">
        <v>2652</v>
      </c>
      <c r="AB163" s="24"/>
      <c r="AC163" s="24"/>
      <c r="AD163" s="24"/>
      <c r="AE163" s="24" t="s">
        <v>321</v>
      </c>
      <c r="AF163" s="24"/>
      <c r="AG163" s="24"/>
      <c r="AH163" s="24"/>
      <c r="AI163" s="24"/>
      <c r="AJ163" s="24"/>
      <c r="AK163" s="24" t="s">
        <v>322</v>
      </c>
      <c r="AL163" s="24" t="s">
        <v>2653</v>
      </c>
      <c r="AM163" s="24" t="s">
        <v>2654</v>
      </c>
      <c r="AN163" s="24">
        <v>44551</v>
      </c>
      <c r="AO163" s="24" t="s">
        <v>2655</v>
      </c>
      <c r="AP163" s="24">
        <v>54420</v>
      </c>
      <c r="AQ163" s="24" t="s">
        <v>2399</v>
      </c>
      <c r="AR163" s="24" t="s">
        <v>291</v>
      </c>
      <c r="AS163" s="24" t="s">
        <v>291</v>
      </c>
      <c r="AT163" s="24"/>
    </row>
    <row r="164" spans="1:46" s="23" customFormat="1" ht="15" customHeight="1">
      <c r="A164" s="11">
        <v>162</v>
      </c>
      <c r="B164" s="12">
        <v>12634</v>
      </c>
      <c r="C164" s="12" t="s">
        <v>271</v>
      </c>
      <c r="D164" s="18" t="s">
        <v>137</v>
      </c>
      <c r="E164" s="13" t="s">
        <v>2656</v>
      </c>
      <c r="F164" s="11" t="s">
        <v>2657</v>
      </c>
      <c r="G164" s="12" t="s">
        <v>2658</v>
      </c>
      <c r="H164" s="24" t="s">
        <v>2371</v>
      </c>
      <c r="I164" s="13" t="s">
        <v>2659</v>
      </c>
      <c r="J164" s="13" t="s">
        <v>2660</v>
      </c>
      <c r="K164" s="24" t="s">
        <v>2661</v>
      </c>
      <c r="L164" s="13" t="s">
        <v>2662</v>
      </c>
      <c r="M164" s="13"/>
      <c r="N164" s="13" t="s">
        <v>2663</v>
      </c>
      <c r="O164" s="13" t="s">
        <v>4</v>
      </c>
      <c r="P164" s="12" t="s">
        <v>2664</v>
      </c>
      <c r="Q164" s="24" t="s">
        <v>2665</v>
      </c>
      <c r="R164" s="12">
        <v>566170</v>
      </c>
      <c r="S164" s="24"/>
      <c r="T164" s="24"/>
      <c r="U164" s="24"/>
      <c r="V164" s="24" t="s">
        <v>283</v>
      </c>
      <c r="W164" s="24"/>
      <c r="X164" s="24"/>
      <c r="Y164" s="24"/>
      <c r="Z164" s="24"/>
      <c r="AA164" s="24"/>
      <c r="AB164" s="13" t="s">
        <v>4</v>
      </c>
      <c r="AC164" s="12" t="s">
        <v>2664</v>
      </c>
      <c r="AD164" s="24" t="s">
        <v>2665</v>
      </c>
      <c r="AE164" s="12">
        <v>566170</v>
      </c>
      <c r="AF164" s="13" t="s">
        <v>284</v>
      </c>
      <c r="AG164" s="13" t="s">
        <v>2666</v>
      </c>
      <c r="AH164" s="13" t="s">
        <v>286</v>
      </c>
      <c r="AI164" s="24" t="s">
        <v>287</v>
      </c>
      <c r="AJ164" s="24">
        <v>302</v>
      </c>
      <c r="AK164" s="24" t="s">
        <v>2667</v>
      </c>
      <c r="AL164" s="24" t="s">
        <v>2668</v>
      </c>
      <c r="AM164" s="24" t="s">
        <v>2669</v>
      </c>
      <c r="AN164" s="24">
        <v>45959</v>
      </c>
      <c r="AO164" s="24" t="s">
        <v>2664</v>
      </c>
      <c r="AP164" s="24">
        <v>566176</v>
      </c>
      <c r="AQ164" s="24" t="s">
        <v>12</v>
      </c>
      <c r="AR164" s="24" t="s">
        <v>12</v>
      </c>
      <c r="AS164" s="24" t="s">
        <v>2670</v>
      </c>
      <c r="AT164" s="24"/>
    </row>
    <row r="165" spans="1:46" s="23" customFormat="1" ht="15" customHeight="1">
      <c r="A165" s="11">
        <v>163</v>
      </c>
      <c r="B165" s="12">
        <v>784</v>
      </c>
      <c r="C165" s="12" t="s">
        <v>271</v>
      </c>
      <c r="D165" s="18" t="s">
        <v>55</v>
      </c>
      <c r="E165" s="13" t="s">
        <v>2671</v>
      </c>
      <c r="F165" s="11" t="s">
        <v>2672</v>
      </c>
      <c r="G165" s="12" t="s">
        <v>2673</v>
      </c>
      <c r="H165" s="24" t="s">
        <v>2674</v>
      </c>
      <c r="I165" s="13" t="s">
        <v>2675</v>
      </c>
      <c r="J165" s="13" t="s">
        <v>2676</v>
      </c>
      <c r="K165" s="24" t="s">
        <v>2677</v>
      </c>
      <c r="L165" s="29" t="s">
        <v>2678</v>
      </c>
      <c r="M165" s="13" t="s">
        <v>248</v>
      </c>
      <c r="N165" s="13" t="s">
        <v>2679</v>
      </c>
      <c r="O165" s="13" t="s">
        <v>3</v>
      </c>
      <c r="P165" s="12" t="s">
        <v>2680</v>
      </c>
      <c r="Q165" s="24" t="s">
        <v>2681</v>
      </c>
      <c r="R165" s="12">
        <v>44530</v>
      </c>
      <c r="S165" s="13" t="s">
        <v>3</v>
      </c>
      <c r="T165" s="12" t="s">
        <v>2680</v>
      </c>
      <c r="U165" s="24" t="s">
        <v>2681</v>
      </c>
      <c r="V165" s="12">
        <v>44530</v>
      </c>
      <c r="W165" s="13" t="s">
        <v>544</v>
      </c>
      <c r="X165" s="13" t="s">
        <v>2682</v>
      </c>
      <c r="Y165" s="13" t="s">
        <v>546</v>
      </c>
      <c r="Z165" s="24" t="s">
        <v>547</v>
      </c>
      <c r="AA165" s="24" t="s">
        <v>2683</v>
      </c>
      <c r="AB165" s="24"/>
      <c r="AC165" s="24"/>
      <c r="AD165" s="24"/>
      <c r="AE165" s="24" t="s">
        <v>321</v>
      </c>
      <c r="AF165" s="24"/>
      <c r="AG165" s="24"/>
      <c r="AH165" s="24"/>
      <c r="AI165" s="24"/>
      <c r="AJ165" s="24"/>
      <c r="AK165" s="24" t="s">
        <v>322</v>
      </c>
      <c r="AL165" s="24" t="s">
        <v>2684</v>
      </c>
      <c r="AM165" s="24" t="s">
        <v>2685</v>
      </c>
      <c r="AN165" s="24">
        <v>45065</v>
      </c>
      <c r="AO165" s="24" t="s">
        <v>2686</v>
      </c>
      <c r="AP165" s="24">
        <v>44531</v>
      </c>
      <c r="AQ165" s="24" t="s">
        <v>2399</v>
      </c>
      <c r="AR165" s="24" t="s">
        <v>291</v>
      </c>
      <c r="AS165" s="24" t="s">
        <v>291</v>
      </c>
      <c r="AT165" s="24"/>
    </row>
    <row r="166" spans="1:46" s="23" customFormat="1" ht="15" customHeight="1">
      <c r="A166" s="11">
        <v>164</v>
      </c>
      <c r="B166" s="12">
        <v>1660</v>
      </c>
      <c r="C166" s="12" t="s">
        <v>271</v>
      </c>
      <c r="D166" s="18" t="s">
        <v>2687</v>
      </c>
      <c r="E166" s="13" t="s">
        <v>2688</v>
      </c>
      <c r="F166" s="11" t="s">
        <v>2689</v>
      </c>
      <c r="G166" s="12" t="s">
        <v>2690</v>
      </c>
      <c r="H166" s="24" t="s">
        <v>2674</v>
      </c>
      <c r="I166" s="11" t="s">
        <v>2691</v>
      </c>
      <c r="J166" s="11" t="s">
        <v>2692</v>
      </c>
      <c r="K166" s="24" t="s">
        <v>2693</v>
      </c>
      <c r="L166" s="11" t="s">
        <v>2694</v>
      </c>
      <c r="M166" s="13"/>
      <c r="N166" s="13" t="s">
        <v>2695</v>
      </c>
      <c r="O166" s="13" t="s">
        <v>4</v>
      </c>
      <c r="P166" s="12" t="s">
        <v>2696</v>
      </c>
      <c r="Q166" s="24" t="s">
        <v>2697</v>
      </c>
      <c r="R166" s="12">
        <v>641370</v>
      </c>
      <c r="S166" s="24"/>
      <c r="T166" s="24"/>
      <c r="U166" s="24"/>
      <c r="V166" s="24" t="s">
        <v>283</v>
      </c>
      <c r="W166" s="24"/>
      <c r="X166" s="24"/>
      <c r="Y166" s="24"/>
      <c r="Z166" s="24"/>
      <c r="AA166" s="24"/>
      <c r="AB166" s="13" t="s">
        <v>4</v>
      </c>
      <c r="AC166" s="12" t="s">
        <v>2696</v>
      </c>
      <c r="AD166" s="24" t="s">
        <v>2697</v>
      </c>
      <c r="AE166" s="12">
        <v>641370</v>
      </c>
      <c r="AF166" s="13" t="s">
        <v>284</v>
      </c>
      <c r="AG166" s="13" t="s">
        <v>2698</v>
      </c>
      <c r="AH166" s="13" t="s">
        <v>286</v>
      </c>
      <c r="AI166" s="24" t="s">
        <v>287</v>
      </c>
      <c r="AJ166" s="24"/>
      <c r="AK166" s="24"/>
      <c r="AL166" s="24" t="s">
        <v>2699</v>
      </c>
      <c r="AM166" s="24" t="s">
        <v>2700</v>
      </c>
      <c r="AN166" s="24">
        <v>43855</v>
      </c>
      <c r="AO166" s="24" t="s">
        <v>2696</v>
      </c>
      <c r="AP166" s="24">
        <v>641376</v>
      </c>
      <c r="AQ166" s="24" t="s">
        <v>4</v>
      </c>
      <c r="AR166" s="24" t="s">
        <v>291</v>
      </c>
      <c r="AS166" s="24" t="s">
        <v>291</v>
      </c>
      <c r="AT166" s="24"/>
    </row>
    <row r="167" spans="1:46" s="23" customFormat="1" ht="15" customHeight="1">
      <c r="A167" s="11">
        <v>165</v>
      </c>
      <c r="B167" s="12">
        <v>9262</v>
      </c>
      <c r="C167" s="12" t="s">
        <v>271</v>
      </c>
      <c r="D167" s="18" t="s">
        <v>54</v>
      </c>
      <c r="E167" s="13" t="s">
        <v>2701</v>
      </c>
      <c r="F167" s="11" t="s">
        <v>2702</v>
      </c>
      <c r="G167" s="12" t="s">
        <v>2703</v>
      </c>
      <c r="H167" s="24" t="s">
        <v>2674</v>
      </c>
      <c r="I167" s="13" t="s">
        <v>2704</v>
      </c>
      <c r="J167" s="13" t="s">
        <v>2705</v>
      </c>
      <c r="K167" s="24" t="s">
        <v>2706</v>
      </c>
      <c r="L167" s="29" t="s">
        <v>2707</v>
      </c>
      <c r="M167" s="13" t="s">
        <v>248</v>
      </c>
      <c r="N167" s="13" t="s">
        <v>2708</v>
      </c>
      <c r="O167" s="13" t="s">
        <v>4</v>
      </c>
      <c r="P167" s="12" t="s">
        <v>2709</v>
      </c>
      <c r="Q167" s="24" t="s">
        <v>2697</v>
      </c>
      <c r="R167" s="12">
        <v>643100</v>
      </c>
      <c r="S167" s="24"/>
      <c r="T167" s="24"/>
      <c r="U167" s="24"/>
      <c r="V167" s="24" t="s">
        <v>283</v>
      </c>
      <c r="W167" s="24"/>
      <c r="X167" s="24"/>
      <c r="Y167" s="24"/>
      <c r="Z167" s="24"/>
      <c r="AA167" s="24"/>
      <c r="AB167" s="13" t="s">
        <v>4</v>
      </c>
      <c r="AC167" s="12" t="s">
        <v>2709</v>
      </c>
      <c r="AD167" s="24" t="s">
        <v>2697</v>
      </c>
      <c r="AE167" s="12">
        <v>643100</v>
      </c>
      <c r="AF167" s="13" t="s">
        <v>284</v>
      </c>
      <c r="AG167" s="13" t="s">
        <v>2710</v>
      </c>
      <c r="AH167" s="13" t="s">
        <v>286</v>
      </c>
      <c r="AI167" s="24" t="s">
        <v>287</v>
      </c>
      <c r="AJ167" s="24">
        <v>246</v>
      </c>
      <c r="AK167" s="24" t="s">
        <v>2711</v>
      </c>
      <c r="AL167" s="24" t="s">
        <v>2712</v>
      </c>
      <c r="AM167" s="24" t="s">
        <v>2713</v>
      </c>
      <c r="AN167" s="24">
        <v>44104</v>
      </c>
      <c r="AO167" s="24" t="s">
        <v>2709</v>
      </c>
      <c r="AP167" s="24">
        <v>643106</v>
      </c>
      <c r="AQ167" s="24" t="s">
        <v>4</v>
      </c>
      <c r="AR167" s="24" t="s">
        <v>291</v>
      </c>
      <c r="AS167" s="24" t="s">
        <v>291</v>
      </c>
      <c r="AT167" s="24"/>
    </row>
    <row r="168" spans="1:46" s="23" customFormat="1" ht="15" customHeight="1">
      <c r="A168" s="11">
        <v>166</v>
      </c>
      <c r="B168" s="12">
        <v>2701</v>
      </c>
      <c r="C168" s="12" t="s">
        <v>271</v>
      </c>
      <c r="D168" s="18" t="s">
        <v>52</v>
      </c>
      <c r="E168" s="13" t="s">
        <v>2714</v>
      </c>
      <c r="F168" s="11" t="s">
        <v>2715</v>
      </c>
      <c r="G168" s="12" t="s">
        <v>2716</v>
      </c>
      <c r="H168" s="24" t="s">
        <v>2674</v>
      </c>
      <c r="I168" s="13" t="s">
        <v>2717</v>
      </c>
      <c r="J168" s="13" t="s">
        <v>2718</v>
      </c>
      <c r="K168" s="24" t="s">
        <v>2719</v>
      </c>
      <c r="L168" s="13" t="s">
        <v>2720</v>
      </c>
      <c r="M168" s="13"/>
      <c r="N168" s="13" t="s">
        <v>2721</v>
      </c>
      <c r="O168" s="13" t="s">
        <v>4</v>
      </c>
      <c r="P168" s="12" t="s">
        <v>2722</v>
      </c>
      <c r="Q168" s="24" t="s">
        <v>2697</v>
      </c>
      <c r="R168" s="12">
        <v>642360</v>
      </c>
      <c r="S168" s="24"/>
      <c r="T168" s="24"/>
      <c r="U168" s="24"/>
      <c r="V168" s="24" t="s">
        <v>283</v>
      </c>
      <c r="W168" s="24"/>
      <c r="X168" s="24"/>
      <c r="Y168" s="24"/>
      <c r="Z168" s="24"/>
      <c r="AA168" s="24"/>
      <c r="AB168" s="13" t="s">
        <v>4</v>
      </c>
      <c r="AC168" s="12" t="s">
        <v>2722</v>
      </c>
      <c r="AD168" s="24" t="s">
        <v>2697</v>
      </c>
      <c r="AE168" s="12">
        <v>642360</v>
      </c>
      <c r="AF168" s="13" t="s">
        <v>284</v>
      </c>
      <c r="AG168" s="13" t="s">
        <v>2723</v>
      </c>
      <c r="AH168" s="13" t="s">
        <v>286</v>
      </c>
      <c r="AI168" s="24" t="s">
        <v>287</v>
      </c>
      <c r="AJ168" s="24">
        <v>107</v>
      </c>
      <c r="AK168" s="24" t="s">
        <v>2724</v>
      </c>
      <c r="AL168" s="24" t="s">
        <v>2725</v>
      </c>
      <c r="AM168" s="24" t="s">
        <v>2726</v>
      </c>
      <c r="AN168" s="24">
        <v>40323</v>
      </c>
      <c r="AO168" s="24" t="s">
        <v>2722</v>
      </c>
      <c r="AP168" s="24">
        <v>642366</v>
      </c>
      <c r="AQ168" s="24" t="s">
        <v>12</v>
      </c>
      <c r="AR168" s="24" t="s">
        <v>12</v>
      </c>
      <c r="AS168" s="24" t="s">
        <v>2727</v>
      </c>
      <c r="AT168" s="24"/>
    </row>
    <row r="169" spans="1:46" s="23" customFormat="1" ht="15" customHeight="1">
      <c r="A169" s="11">
        <v>167</v>
      </c>
      <c r="B169" s="12">
        <v>8983</v>
      </c>
      <c r="C169" s="12" t="s">
        <v>271</v>
      </c>
      <c r="D169" s="18" t="s">
        <v>53</v>
      </c>
      <c r="E169" s="13" t="s">
        <v>2728</v>
      </c>
      <c r="F169" s="11" t="s">
        <v>2729</v>
      </c>
      <c r="G169" s="12" t="s">
        <v>2730</v>
      </c>
      <c r="H169" s="24" t="s">
        <v>2674</v>
      </c>
      <c r="I169" s="13" t="s">
        <v>2731</v>
      </c>
      <c r="J169" s="13" t="s">
        <v>2732</v>
      </c>
      <c r="K169" s="24" t="s">
        <v>2733</v>
      </c>
      <c r="L169" s="29" t="s">
        <v>2734</v>
      </c>
      <c r="M169" s="13" t="s">
        <v>248</v>
      </c>
      <c r="N169" s="13" t="s">
        <v>2735</v>
      </c>
      <c r="O169" s="13" t="s">
        <v>3</v>
      </c>
      <c r="P169" s="12" t="s">
        <v>2736</v>
      </c>
      <c r="Q169" s="24" t="s">
        <v>2737</v>
      </c>
      <c r="R169" s="12">
        <v>48284</v>
      </c>
      <c r="S169" s="13" t="s">
        <v>3</v>
      </c>
      <c r="T169" s="12" t="s">
        <v>2736</v>
      </c>
      <c r="U169" s="24" t="s">
        <v>2737</v>
      </c>
      <c r="V169" s="12">
        <v>48284</v>
      </c>
      <c r="W169" s="13" t="s">
        <v>544</v>
      </c>
      <c r="X169" s="13" t="s">
        <v>2738</v>
      </c>
      <c r="Y169" s="13" t="s">
        <v>546</v>
      </c>
      <c r="Z169" s="24" t="s">
        <v>547</v>
      </c>
      <c r="AA169" s="24" t="s">
        <v>2739</v>
      </c>
      <c r="AB169" s="24"/>
      <c r="AC169" s="24"/>
      <c r="AD169" s="24"/>
      <c r="AE169" s="24" t="s">
        <v>321</v>
      </c>
      <c r="AF169" s="24"/>
      <c r="AG169" s="24"/>
      <c r="AH169" s="24"/>
      <c r="AI169" s="24"/>
      <c r="AJ169" s="24"/>
      <c r="AK169" s="24" t="s">
        <v>322</v>
      </c>
      <c r="AL169" s="24" t="s">
        <v>2740</v>
      </c>
      <c r="AM169" s="24" t="s">
        <v>2741</v>
      </c>
      <c r="AN169" s="24">
        <v>38216</v>
      </c>
      <c r="AO169" s="24" t="s">
        <v>2742</v>
      </c>
      <c r="AP169" s="24">
        <v>48285</v>
      </c>
      <c r="AQ169" s="24" t="s">
        <v>3</v>
      </c>
      <c r="AR169" s="24" t="s">
        <v>291</v>
      </c>
      <c r="AS169" s="24" t="s">
        <v>291</v>
      </c>
      <c r="AT169" s="24"/>
    </row>
    <row r="170" spans="1:46" s="23" customFormat="1" ht="15" customHeight="1">
      <c r="A170" s="11">
        <v>168</v>
      </c>
      <c r="B170" s="12">
        <v>3486</v>
      </c>
      <c r="C170" s="12" t="s">
        <v>271</v>
      </c>
      <c r="D170" s="18" t="s">
        <v>58</v>
      </c>
      <c r="E170" s="13" t="s">
        <v>2743</v>
      </c>
      <c r="F170" s="11" t="s">
        <v>2744</v>
      </c>
      <c r="G170" s="12" t="s">
        <v>2745</v>
      </c>
      <c r="H170" s="24" t="s">
        <v>2674</v>
      </c>
      <c r="I170" s="13" t="s">
        <v>2746</v>
      </c>
      <c r="J170" s="13" t="s">
        <v>2747</v>
      </c>
      <c r="K170" s="24" t="s">
        <v>2748</v>
      </c>
      <c r="L170" s="29" t="s">
        <v>2749</v>
      </c>
      <c r="M170" s="13" t="s">
        <v>248</v>
      </c>
      <c r="N170" s="13" t="s">
        <v>2750</v>
      </c>
      <c r="O170" s="13" t="s">
        <v>3</v>
      </c>
      <c r="P170" s="12" t="s">
        <v>2751</v>
      </c>
      <c r="Q170" s="24" t="s">
        <v>2752</v>
      </c>
      <c r="R170" s="12">
        <v>46818</v>
      </c>
      <c r="S170" s="13" t="s">
        <v>3</v>
      </c>
      <c r="T170" s="12" t="s">
        <v>2751</v>
      </c>
      <c r="U170" s="24" t="s">
        <v>2752</v>
      </c>
      <c r="V170" s="12">
        <v>46818</v>
      </c>
      <c r="W170" s="13" t="s">
        <v>544</v>
      </c>
      <c r="X170" s="13" t="s">
        <v>2753</v>
      </c>
      <c r="Y170" s="13" t="s">
        <v>546</v>
      </c>
      <c r="Z170" s="24" t="s">
        <v>547</v>
      </c>
      <c r="AA170" s="24" t="s">
        <v>2754</v>
      </c>
      <c r="AB170" s="24"/>
      <c r="AC170" s="24"/>
      <c r="AD170" s="24"/>
      <c r="AE170" s="24" t="s">
        <v>321</v>
      </c>
      <c r="AF170" s="24"/>
      <c r="AG170" s="24"/>
      <c r="AH170" s="24"/>
      <c r="AI170" s="24"/>
      <c r="AJ170" s="24"/>
      <c r="AK170" s="24" t="s">
        <v>322</v>
      </c>
      <c r="AL170" s="24" t="s">
        <v>2755</v>
      </c>
      <c r="AM170" s="24" t="s">
        <v>2756</v>
      </c>
      <c r="AN170" s="24">
        <v>37663</v>
      </c>
      <c r="AO170" s="24" t="s">
        <v>2757</v>
      </c>
      <c r="AP170" s="24">
        <v>46819</v>
      </c>
      <c r="AQ170" s="24" t="s">
        <v>3</v>
      </c>
      <c r="AR170" s="24" t="s">
        <v>291</v>
      </c>
      <c r="AS170" s="24" t="s">
        <v>291</v>
      </c>
      <c r="AT170" s="24"/>
    </row>
    <row r="171" spans="1:46" s="23" customFormat="1" ht="15" customHeight="1">
      <c r="A171" s="11">
        <v>169</v>
      </c>
      <c r="B171" s="12">
        <v>5567</v>
      </c>
      <c r="C171" s="12" t="s">
        <v>271</v>
      </c>
      <c r="D171" s="18" t="s">
        <v>56</v>
      </c>
      <c r="E171" s="13" t="s">
        <v>2758</v>
      </c>
      <c r="F171" s="11" t="s">
        <v>2759</v>
      </c>
      <c r="G171" s="12" t="s">
        <v>2760</v>
      </c>
      <c r="H171" s="24" t="s">
        <v>2674</v>
      </c>
      <c r="I171" s="13" t="s">
        <v>2761</v>
      </c>
      <c r="J171" s="13" t="s">
        <v>2762</v>
      </c>
      <c r="K171" s="24" t="s">
        <v>2763</v>
      </c>
      <c r="L171" s="29" t="s">
        <v>2764</v>
      </c>
      <c r="M171" s="13" t="s">
        <v>248</v>
      </c>
      <c r="N171" s="13" t="s">
        <v>2765</v>
      </c>
      <c r="O171" s="13" t="s">
        <v>3</v>
      </c>
      <c r="P171" s="12" t="s">
        <v>2766</v>
      </c>
      <c r="Q171" s="24" t="s">
        <v>2767</v>
      </c>
      <c r="R171" s="12">
        <v>43482</v>
      </c>
      <c r="S171" s="13" t="s">
        <v>3</v>
      </c>
      <c r="T171" s="12" t="s">
        <v>2766</v>
      </c>
      <c r="U171" s="24" t="s">
        <v>2767</v>
      </c>
      <c r="V171" s="12">
        <v>43482</v>
      </c>
      <c r="W171" s="13" t="s">
        <v>544</v>
      </c>
      <c r="X171" s="13" t="s">
        <v>2768</v>
      </c>
      <c r="Y171" s="13" t="s">
        <v>546</v>
      </c>
      <c r="Z171" s="24" t="s">
        <v>547</v>
      </c>
      <c r="AA171" s="24" t="s">
        <v>2769</v>
      </c>
      <c r="AB171" s="24"/>
      <c r="AC171" s="24"/>
      <c r="AD171" s="24"/>
      <c r="AE171" s="24" t="s">
        <v>321</v>
      </c>
      <c r="AF171" s="24"/>
      <c r="AG171" s="24"/>
      <c r="AH171" s="24"/>
      <c r="AI171" s="24"/>
      <c r="AJ171" s="24"/>
      <c r="AK171" s="24" t="s">
        <v>322</v>
      </c>
      <c r="AL171" s="24" t="s">
        <v>2770</v>
      </c>
      <c r="AM171" s="24" t="s">
        <v>2771</v>
      </c>
      <c r="AN171" s="24">
        <v>36378</v>
      </c>
      <c r="AO171" s="24" t="s">
        <v>2772</v>
      </c>
      <c r="AP171" s="24">
        <v>43483</v>
      </c>
      <c r="AQ171" s="24" t="s">
        <v>3</v>
      </c>
      <c r="AR171" s="24" t="s">
        <v>291</v>
      </c>
      <c r="AS171" s="24" t="s">
        <v>291</v>
      </c>
      <c r="AT171" s="24"/>
    </row>
    <row r="172" spans="1:46" s="23" customFormat="1" ht="15" customHeight="1">
      <c r="A172" s="11">
        <v>170</v>
      </c>
      <c r="B172" s="12">
        <v>5853</v>
      </c>
      <c r="C172" s="12" t="s">
        <v>271</v>
      </c>
      <c r="D172" s="18" t="s">
        <v>2773</v>
      </c>
      <c r="E172" s="13" t="s">
        <v>2774</v>
      </c>
      <c r="F172" s="11" t="s">
        <v>2775</v>
      </c>
      <c r="G172" s="12" t="s">
        <v>2776</v>
      </c>
      <c r="H172" s="24" t="s">
        <v>2674</v>
      </c>
      <c r="I172" s="11" t="s">
        <v>2777</v>
      </c>
      <c r="J172" s="11" t="s">
        <v>2778</v>
      </c>
      <c r="K172" s="24" t="s">
        <v>2779</v>
      </c>
      <c r="L172" s="11" t="s">
        <v>2694</v>
      </c>
      <c r="M172" s="13"/>
      <c r="N172" s="13" t="s">
        <v>2780</v>
      </c>
      <c r="O172" s="13" t="s">
        <v>4</v>
      </c>
      <c r="P172" s="12" t="s">
        <v>2781</v>
      </c>
      <c r="Q172" s="24" t="s">
        <v>2782</v>
      </c>
      <c r="R172" s="12">
        <v>673110</v>
      </c>
      <c r="S172" s="24"/>
      <c r="T172" s="24"/>
      <c r="U172" s="24"/>
      <c r="V172" s="24" t="s">
        <v>283</v>
      </c>
      <c r="W172" s="24"/>
      <c r="X172" s="24"/>
      <c r="Y172" s="24"/>
      <c r="Z172" s="24"/>
      <c r="AA172" s="24"/>
      <c r="AB172" s="13" t="s">
        <v>4</v>
      </c>
      <c r="AC172" s="12" t="s">
        <v>2781</v>
      </c>
      <c r="AD172" s="24" t="s">
        <v>2782</v>
      </c>
      <c r="AE172" s="12">
        <v>673110</v>
      </c>
      <c r="AF172" s="13" t="s">
        <v>284</v>
      </c>
      <c r="AG172" s="13" t="s">
        <v>2783</v>
      </c>
      <c r="AH172" s="13" t="s">
        <v>286</v>
      </c>
      <c r="AI172" s="24" t="s">
        <v>287</v>
      </c>
      <c r="AJ172" s="24">
        <v>84</v>
      </c>
      <c r="AK172" s="24" t="s">
        <v>2784</v>
      </c>
      <c r="AL172" s="24" t="s">
        <v>2785</v>
      </c>
      <c r="AM172" s="24" t="s">
        <v>2786</v>
      </c>
      <c r="AN172" s="24">
        <v>36282</v>
      </c>
      <c r="AO172" s="24" t="s">
        <v>2781</v>
      </c>
      <c r="AP172" s="24">
        <v>673116</v>
      </c>
      <c r="AQ172" s="24" t="s">
        <v>4</v>
      </c>
      <c r="AR172" s="24" t="s">
        <v>291</v>
      </c>
      <c r="AS172" s="24" t="s">
        <v>291</v>
      </c>
      <c r="AT172" s="24"/>
    </row>
    <row r="173" spans="1:46" s="23" customFormat="1" ht="15" customHeight="1">
      <c r="A173" s="11">
        <v>171</v>
      </c>
      <c r="B173" s="12">
        <v>5756</v>
      </c>
      <c r="C173" s="12" t="s">
        <v>271</v>
      </c>
      <c r="D173" s="18" t="s">
        <v>59</v>
      </c>
      <c r="E173" s="13" t="s">
        <v>2787</v>
      </c>
      <c r="F173" s="11" t="s">
        <v>2788</v>
      </c>
      <c r="G173" s="12" t="s">
        <v>2789</v>
      </c>
      <c r="H173" s="24" t="s">
        <v>2674</v>
      </c>
      <c r="I173" s="13" t="s">
        <v>2790</v>
      </c>
      <c r="J173" s="13" t="s">
        <v>2791</v>
      </c>
      <c r="K173" s="24" t="s">
        <v>2792</v>
      </c>
      <c r="L173" s="29" t="s">
        <v>2793</v>
      </c>
      <c r="M173" s="13" t="s">
        <v>248</v>
      </c>
      <c r="N173" s="13" t="s">
        <v>2794</v>
      </c>
      <c r="O173" s="13" t="s">
        <v>3</v>
      </c>
      <c r="P173" s="12" t="s">
        <v>2795</v>
      </c>
      <c r="Q173" s="24" t="s">
        <v>2796</v>
      </c>
      <c r="R173" s="12">
        <v>46092</v>
      </c>
      <c r="S173" s="13" t="s">
        <v>3</v>
      </c>
      <c r="T173" s="12" t="s">
        <v>2795</v>
      </c>
      <c r="U173" s="24" t="s">
        <v>2796</v>
      </c>
      <c r="V173" s="12">
        <v>46092</v>
      </c>
      <c r="W173" s="13" t="s">
        <v>544</v>
      </c>
      <c r="X173" s="13" t="s">
        <v>2797</v>
      </c>
      <c r="Y173" s="13" t="s">
        <v>546</v>
      </c>
      <c r="Z173" s="24" t="s">
        <v>547</v>
      </c>
      <c r="AA173" s="24" t="s">
        <v>2798</v>
      </c>
      <c r="AB173" s="24"/>
      <c r="AC173" s="24"/>
      <c r="AD173" s="24"/>
      <c r="AE173" s="24" t="s">
        <v>321</v>
      </c>
      <c r="AF173" s="24"/>
      <c r="AG173" s="24"/>
      <c r="AH173" s="24"/>
      <c r="AI173" s="24"/>
      <c r="AJ173" s="24"/>
      <c r="AK173" s="24" t="s">
        <v>322</v>
      </c>
      <c r="AL173" s="24" t="s">
        <v>2799</v>
      </c>
      <c r="AM173" s="24" t="s">
        <v>2800</v>
      </c>
      <c r="AN173" s="24">
        <v>31699</v>
      </c>
      <c r="AO173" s="24" t="s">
        <v>2801</v>
      </c>
      <c r="AP173" s="24">
        <v>46093</v>
      </c>
      <c r="AQ173" s="24" t="s">
        <v>12</v>
      </c>
      <c r="AR173" s="24" t="s">
        <v>12</v>
      </c>
      <c r="AS173" s="24" t="s">
        <v>2802</v>
      </c>
      <c r="AT173" s="24"/>
    </row>
    <row r="174" spans="1:46" s="23" customFormat="1" ht="15" customHeight="1">
      <c r="A174" s="11">
        <v>172</v>
      </c>
      <c r="B174" s="12">
        <v>5757</v>
      </c>
      <c r="C174" s="12" t="s">
        <v>271</v>
      </c>
      <c r="D174" s="18" t="s">
        <v>61</v>
      </c>
      <c r="E174" s="13" t="s">
        <v>2803</v>
      </c>
      <c r="F174" s="11" t="s">
        <v>2804</v>
      </c>
      <c r="G174" s="12" t="s">
        <v>2805</v>
      </c>
      <c r="H174" s="24" t="s">
        <v>2674</v>
      </c>
      <c r="I174" s="13" t="s">
        <v>2806</v>
      </c>
      <c r="J174" s="13" t="s">
        <v>2807</v>
      </c>
      <c r="K174" s="24" t="s">
        <v>2808</v>
      </c>
      <c r="L174" s="13" t="s">
        <v>2809</v>
      </c>
      <c r="M174" s="13"/>
      <c r="N174" s="13" t="s">
        <v>2810</v>
      </c>
      <c r="O174" s="13" t="s">
        <v>4</v>
      </c>
      <c r="P174" s="12" t="s">
        <v>2811</v>
      </c>
      <c r="Q174" s="24" t="s">
        <v>2812</v>
      </c>
      <c r="R174" s="12">
        <v>624010</v>
      </c>
      <c r="S174" s="24"/>
      <c r="T174" s="24"/>
      <c r="U174" s="24"/>
      <c r="V174" s="24" t="s">
        <v>283</v>
      </c>
      <c r="W174" s="24"/>
      <c r="X174" s="24"/>
      <c r="Y174" s="24"/>
      <c r="Z174" s="24"/>
      <c r="AA174" s="24"/>
      <c r="AB174" s="13" t="s">
        <v>4</v>
      </c>
      <c r="AC174" s="12" t="s">
        <v>2811</v>
      </c>
      <c r="AD174" s="24" t="s">
        <v>2812</v>
      </c>
      <c r="AE174" s="12">
        <v>624010</v>
      </c>
      <c r="AF174" s="13" t="s">
        <v>284</v>
      </c>
      <c r="AG174" s="13" t="s">
        <v>2813</v>
      </c>
      <c r="AH174" s="13" t="s">
        <v>286</v>
      </c>
      <c r="AI174" s="24" t="s">
        <v>287</v>
      </c>
      <c r="AJ174" s="24">
        <v>77</v>
      </c>
      <c r="AK174" s="24" t="s">
        <v>2814</v>
      </c>
      <c r="AL174" s="24" t="s">
        <v>2815</v>
      </c>
      <c r="AM174" s="24" t="s">
        <v>2816</v>
      </c>
      <c r="AN174" s="24">
        <v>26548</v>
      </c>
      <c r="AO174" s="24" t="s">
        <v>2811</v>
      </c>
      <c r="AP174" s="24">
        <v>624016</v>
      </c>
      <c r="AQ174" s="24" t="s">
        <v>4</v>
      </c>
      <c r="AR174" s="24" t="s">
        <v>291</v>
      </c>
      <c r="AS174" s="24" t="s">
        <v>291</v>
      </c>
      <c r="AT174" s="24"/>
    </row>
    <row r="175" spans="1:46" s="23" customFormat="1" ht="15" customHeight="1">
      <c r="A175" s="11">
        <v>173</v>
      </c>
      <c r="B175" s="12">
        <v>8927</v>
      </c>
      <c r="C175" s="12" t="s">
        <v>271</v>
      </c>
      <c r="D175" s="18" t="s">
        <v>60</v>
      </c>
      <c r="E175" s="13" t="s">
        <v>2817</v>
      </c>
      <c r="F175" s="11" t="s">
        <v>2818</v>
      </c>
      <c r="G175" s="12" t="s">
        <v>2819</v>
      </c>
      <c r="H175" s="24" t="s">
        <v>2674</v>
      </c>
      <c r="I175" s="13" t="s">
        <v>2820</v>
      </c>
      <c r="J175" s="13" t="s">
        <v>2821</v>
      </c>
      <c r="K175" s="24" t="s">
        <v>2822</v>
      </c>
      <c r="L175" s="13" t="s">
        <v>2823</v>
      </c>
      <c r="M175" s="13"/>
      <c r="N175" s="13" t="s">
        <v>2824</v>
      </c>
      <c r="O175" s="13" t="s">
        <v>4</v>
      </c>
      <c r="P175" s="12" t="s">
        <v>2825</v>
      </c>
      <c r="Q175" s="24" t="s">
        <v>2826</v>
      </c>
      <c r="R175" s="12">
        <v>623300</v>
      </c>
      <c r="S175" s="24"/>
      <c r="T175" s="24"/>
      <c r="U175" s="24"/>
      <c r="V175" s="24" t="s">
        <v>283</v>
      </c>
      <c r="W175" s="24"/>
      <c r="X175" s="24"/>
      <c r="Y175" s="24"/>
      <c r="Z175" s="24"/>
      <c r="AA175" s="24"/>
      <c r="AB175" s="13" t="s">
        <v>4</v>
      </c>
      <c r="AC175" s="12" t="s">
        <v>2825</v>
      </c>
      <c r="AD175" s="24" t="s">
        <v>2826</v>
      </c>
      <c r="AE175" s="12">
        <v>623300</v>
      </c>
      <c r="AF175" s="13" t="s">
        <v>284</v>
      </c>
      <c r="AG175" s="13" t="s">
        <v>2827</v>
      </c>
      <c r="AH175" s="13" t="s">
        <v>286</v>
      </c>
      <c r="AI175" s="24" t="s">
        <v>287</v>
      </c>
      <c r="AJ175" s="24">
        <v>307</v>
      </c>
      <c r="AK175" s="24" t="s">
        <v>2828</v>
      </c>
      <c r="AL175" s="24" t="s">
        <v>2829</v>
      </c>
      <c r="AM175" s="24" t="s">
        <v>2830</v>
      </c>
      <c r="AN175" s="24">
        <v>46038</v>
      </c>
      <c r="AO175" s="24" t="s">
        <v>2825</v>
      </c>
      <c r="AP175" s="24">
        <v>623306</v>
      </c>
      <c r="AQ175" s="24" t="s">
        <v>12</v>
      </c>
      <c r="AR175" s="24" t="s">
        <v>12</v>
      </c>
      <c r="AS175" s="24" t="s">
        <v>2831</v>
      </c>
      <c r="AT175" s="24"/>
    </row>
    <row r="176" spans="1:46" s="23" customFormat="1" ht="15" customHeight="1">
      <c r="A176" s="11">
        <v>174</v>
      </c>
      <c r="B176" s="12">
        <v>9347</v>
      </c>
      <c r="C176" s="12" t="s">
        <v>271</v>
      </c>
      <c r="D176" s="18" t="s">
        <v>57</v>
      </c>
      <c r="E176" s="13" t="s">
        <v>2832</v>
      </c>
      <c r="F176" s="11" t="s">
        <v>2833</v>
      </c>
      <c r="G176" s="12" t="s">
        <v>2834</v>
      </c>
      <c r="H176" s="24" t="s">
        <v>2674</v>
      </c>
      <c r="I176" s="13" t="s">
        <v>2835</v>
      </c>
      <c r="J176" s="13" t="s">
        <v>2836</v>
      </c>
      <c r="K176" s="24" t="s">
        <v>2837</v>
      </c>
      <c r="L176" s="29" t="s">
        <v>2838</v>
      </c>
      <c r="M176" s="13" t="s">
        <v>248</v>
      </c>
      <c r="N176" s="13" t="s">
        <v>2839</v>
      </c>
      <c r="O176" s="13" t="s">
        <v>3</v>
      </c>
      <c r="P176" s="12" t="s">
        <v>2840</v>
      </c>
      <c r="Q176" s="24" t="s">
        <v>2841</v>
      </c>
      <c r="R176" s="12">
        <v>48212</v>
      </c>
      <c r="S176" s="13" t="s">
        <v>3</v>
      </c>
      <c r="T176" s="12" t="s">
        <v>2840</v>
      </c>
      <c r="U176" s="24" t="s">
        <v>2841</v>
      </c>
      <c r="V176" s="12">
        <v>48212</v>
      </c>
      <c r="W176" s="13" t="s">
        <v>544</v>
      </c>
      <c r="X176" s="13" t="s">
        <v>2842</v>
      </c>
      <c r="Y176" s="13" t="s">
        <v>546</v>
      </c>
      <c r="Z176" s="24" t="s">
        <v>547</v>
      </c>
      <c r="AA176" s="24" t="s">
        <v>2843</v>
      </c>
      <c r="AB176" s="24"/>
      <c r="AC176" s="24"/>
      <c r="AD176" s="24"/>
      <c r="AE176" s="24" t="s">
        <v>321</v>
      </c>
      <c r="AF176" s="24"/>
      <c r="AG176" s="24"/>
      <c r="AH176" s="24"/>
      <c r="AI176" s="24"/>
      <c r="AJ176" s="24"/>
      <c r="AK176" s="24" t="s">
        <v>322</v>
      </c>
      <c r="AL176" s="24" t="s">
        <v>2844</v>
      </c>
      <c r="AM176" s="24" t="s">
        <v>2845</v>
      </c>
      <c r="AN176" s="24">
        <v>36145</v>
      </c>
      <c r="AO176" s="24" t="s">
        <v>2502</v>
      </c>
      <c r="AP176" s="24">
        <v>48213</v>
      </c>
      <c r="AQ176" s="24" t="s">
        <v>342</v>
      </c>
      <c r="AR176" s="24" t="s">
        <v>291</v>
      </c>
      <c r="AS176" s="24" t="s">
        <v>291</v>
      </c>
      <c r="AT176" s="24"/>
    </row>
    <row r="177" spans="1:46" s="23" customFormat="1" ht="15" customHeight="1">
      <c r="A177" s="11">
        <v>175</v>
      </c>
      <c r="B177" s="12">
        <v>12568</v>
      </c>
      <c r="C177" s="12" t="s">
        <v>271</v>
      </c>
      <c r="D177" s="18" t="s">
        <v>2846</v>
      </c>
      <c r="E177" s="13" t="s">
        <v>2847</v>
      </c>
      <c r="F177" s="11" t="s">
        <v>2848</v>
      </c>
      <c r="G177" s="12" t="s">
        <v>2849</v>
      </c>
      <c r="H177" s="24" t="s">
        <v>2674</v>
      </c>
      <c r="I177" s="11" t="s">
        <v>2850</v>
      </c>
      <c r="J177" s="11" t="s">
        <v>2851</v>
      </c>
      <c r="K177" s="24" t="s">
        <v>2852</v>
      </c>
      <c r="L177" s="11"/>
      <c r="M177" s="13"/>
      <c r="N177" s="13" t="s">
        <v>2853</v>
      </c>
      <c r="O177" s="13" t="s">
        <v>4</v>
      </c>
      <c r="P177" s="12"/>
      <c r="Q177" s="24" t="s">
        <v>2826</v>
      </c>
      <c r="R177" s="12"/>
      <c r="S177" s="24"/>
      <c r="T177" s="24"/>
      <c r="U177" s="24"/>
      <c r="V177" s="24" t="s">
        <v>283</v>
      </c>
      <c r="W177" s="24"/>
      <c r="X177" s="24"/>
      <c r="Y177" s="24"/>
      <c r="Z177" s="24"/>
      <c r="AA177" s="24"/>
      <c r="AB177" s="13" t="s">
        <v>4</v>
      </c>
      <c r="AC177" s="12"/>
      <c r="AD177" s="24" t="s">
        <v>2826</v>
      </c>
      <c r="AE177" s="12"/>
      <c r="AF177" s="13" t="s">
        <v>284</v>
      </c>
      <c r="AG177" s="13" t="s">
        <v>2854</v>
      </c>
      <c r="AH177" s="13" t="s">
        <v>286</v>
      </c>
      <c r="AI177" s="24" t="s">
        <v>287</v>
      </c>
      <c r="AJ177" s="24"/>
      <c r="AK177" s="24"/>
      <c r="AL177" s="24" t="s">
        <v>806</v>
      </c>
      <c r="AM177" s="24" t="s">
        <v>2855</v>
      </c>
      <c r="AN177" s="24">
        <v>45680</v>
      </c>
      <c r="AO177" s="24" t="s">
        <v>808</v>
      </c>
      <c r="AP177" s="24">
        <v>623426</v>
      </c>
      <c r="AQ177" s="24" t="s">
        <v>4</v>
      </c>
      <c r="AR177" s="24" t="s">
        <v>291</v>
      </c>
      <c r="AS177" s="24" t="s">
        <v>291</v>
      </c>
      <c r="AT177" s="24"/>
    </row>
    <row r="178" spans="1:46" s="23" customFormat="1" ht="15" customHeight="1">
      <c r="A178" s="11">
        <v>176</v>
      </c>
      <c r="B178" s="12">
        <v>498</v>
      </c>
      <c r="C178" s="12" t="s">
        <v>271</v>
      </c>
      <c r="D178" s="18" t="s">
        <v>166</v>
      </c>
      <c r="E178" s="13" t="s">
        <v>2856</v>
      </c>
      <c r="F178" s="11" t="s">
        <v>2857</v>
      </c>
      <c r="G178" s="12" t="s">
        <v>2858</v>
      </c>
      <c r="H178" s="24" t="s">
        <v>2859</v>
      </c>
      <c r="I178" s="13" t="s">
        <v>2860</v>
      </c>
      <c r="J178" s="13" t="s">
        <v>2861</v>
      </c>
      <c r="K178" s="24" t="s">
        <v>2862</v>
      </c>
      <c r="L178" s="29" t="s">
        <v>2863</v>
      </c>
      <c r="M178" s="13" t="s">
        <v>248</v>
      </c>
      <c r="N178" s="13" t="s">
        <v>2864</v>
      </c>
      <c r="O178" s="13" t="s">
        <v>3</v>
      </c>
      <c r="P178" s="12" t="s">
        <v>2865</v>
      </c>
      <c r="Q178" s="24" t="s">
        <v>2866</v>
      </c>
      <c r="R178" s="12">
        <v>65263</v>
      </c>
      <c r="S178" s="13" t="s">
        <v>3</v>
      </c>
      <c r="T178" s="12" t="s">
        <v>2865</v>
      </c>
      <c r="U178" s="24" t="s">
        <v>2866</v>
      </c>
      <c r="V178" s="12">
        <v>65263</v>
      </c>
      <c r="W178" s="13" t="s">
        <v>544</v>
      </c>
      <c r="X178" s="13" t="s">
        <v>2867</v>
      </c>
      <c r="Y178" s="13" t="s">
        <v>546</v>
      </c>
      <c r="Z178" s="24" t="s">
        <v>547</v>
      </c>
      <c r="AA178" s="24" t="s">
        <v>2868</v>
      </c>
      <c r="AB178" s="24"/>
      <c r="AC178" s="24"/>
      <c r="AD178" s="24"/>
      <c r="AE178" s="24" t="s">
        <v>321</v>
      </c>
      <c r="AF178" s="24"/>
      <c r="AG178" s="24"/>
      <c r="AH178" s="24"/>
      <c r="AI178" s="24"/>
      <c r="AJ178" s="24"/>
      <c r="AK178" s="24" t="s">
        <v>322</v>
      </c>
      <c r="AL178" s="24" t="s">
        <v>2869</v>
      </c>
      <c r="AM178" s="24" t="s">
        <v>2870</v>
      </c>
      <c r="AN178" s="24">
        <v>31226</v>
      </c>
      <c r="AO178" s="24" t="s">
        <v>2871</v>
      </c>
      <c r="AP178" s="24">
        <v>65264</v>
      </c>
      <c r="AQ178" s="24" t="s">
        <v>3</v>
      </c>
      <c r="AR178" s="24" t="s">
        <v>291</v>
      </c>
      <c r="AS178" s="24" t="s">
        <v>291</v>
      </c>
      <c r="AT178" s="24"/>
    </row>
    <row r="179" spans="1:46" s="23" customFormat="1" ht="15" customHeight="1">
      <c r="A179" s="11">
        <v>177</v>
      </c>
      <c r="B179" s="12">
        <v>8514</v>
      </c>
      <c r="C179" s="12"/>
      <c r="D179" s="18" t="s">
        <v>2872</v>
      </c>
      <c r="E179" s="13" t="s">
        <v>2873</v>
      </c>
      <c r="F179" s="11" t="s">
        <v>2874</v>
      </c>
      <c r="G179" s="12" t="s">
        <v>2875</v>
      </c>
      <c r="H179" s="24" t="s">
        <v>2859</v>
      </c>
      <c r="I179" s="11" t="s">
        <v>2876</v>
      </c>
      <c r="J179" s="11" t="s">
        <v>2877</v>
      </c>
      <c r="K179" s="24" t="s">
        <v>2878</v>
      </c>
      <c r="L179" s="11" t="s">
        <v>2879</v>
      </c>
      <c r="M179" s="13"/>
      <c r="N179" s="13" t="s">
        <v>2880</v>
      </c>
      <c r="O179" s="13" t="s">
        <v>4</v>
      </c>
      <c r="P179" s="12" t="s">
        <v>2881</v>
      </c>
      <c r="Q179" s="24" t="s">
        <v>2882</v>
      </c>
      <c r="R179" s="12">
        <v>762790</v>
      </c>
      <c r="S179" s="24"/>
      <c r="T179" s="24"/>
      <c r="U179" s="24"/>
      <c r="V179" s="24" t="s">
        <v>283</v>
      </c>
      <c r="W179" s="24"/>
      <c r="X179" s="24"/>
      <c r="Y179" s="24"/>
      <c r="Z179" s="24"/>
      <c r="AA179" s="24"/>
      <c r="AB179" s="13" t="s">
        <v>4</v>
      </c>
      <c r="AC179" s="12" t="s">
        <v>2881</v>
      </c>
      <c r="AD179" s="24" t="s">
        <v>2882</v>
      </c>
      <c r="AE179" s="12">
        <v>762790</v>
      </c>
      <c r="AF179" s="13" t="s">
        <v>284</v>
      </c>
      <c r="AG179" s="13" t="s">
        <v>2883</v>
      </c>
      <c r="AH179" s="13" t="s">
        <v>286</v>
      </c>
      <c r="AI179" s="25" t="s">
        <v>303</v>
      </c>
      <c r="AJ179" s="24">
        <v>49</v>
      </c>
      <c r="AK179" s="24" t="s">
        <v>2884</v>
      </c>
      <c r="AL179" s="24" t="s">
        <v>2885</v>
      </c>
      <c r="AM179" s="24" t="s">
        <v>2886</v>
      </c>
      <c r="AN179" s="24">
        <v>39917</v>
      </c>
      <c r="AO179" s="24" t="s">
        <v>2881</v>
      </c>
      <c r="AP179" s="24">
        <v>762796</v>
      </c>
      <c r="AQ179" s="24" t="s">
        <v>2113</v>
      </c>
      <c r="AR179" s="24" t="s">
        <v>291</v>
      </c>
      <c r="AS179" s="24" t="s">
        <v>291</v>
      </c>
      <c r="AT179" s="24"/>
    </row>
    <row r="180" spans="1:46" s="23" customFormat="1" ht="15" customHeight="1">
      <c r="A180" s="11">
        <v>178</v>
      </c>
      <c r="B180" s="12">
        <v>9326</v>
      </c>
      <c r="C180" s="12" t="s">
        <v>271</v>
      </c>
      <c r="D180" s="18" t="s">
        <v>2887</v>
      </c>
      <c r="E180" s="13" t="s">
        <v>2888</v>
      </c>
      <c r="F180" s="11" t="s">
        <v>2889</v>
      </c>
      <c r="G180" s="12" t="s">
        <v>2890</v>
      </c>
      <c r="H180" s="24" t="s">
        <v>2859</v>
      </c>
      <c r="I180" s="13" t="s">
        <v>2891</v>
      </c>
      <c r="J180" s="13" t="s">
        <v>2892</v>
      </c>
      <c r="K180" s="24" t="s">
        <v>2893</v>
      </c>
      <c r="L180" s="13" t="s">
        <v>2894</v>
      </c>
      <c r="M180" s="13"/>
      <c r="N180" s="13" t="s">
        <v>2895</v>
      </c>
      <c r="O180" s="13" t="s">
        <v>3</v>
      </c>
      <c r="P180" s="12" t="s">
        <v>2896</v>
      </c>
      <c r="Q180" s="24" t="s">
        <v>2897</v>
      </c>
      <c r="R180" s="12">
        <v>69833</v>
      </c>
      <c r="S180" s="13" t="s">
        <v>3</v>
      </c>
      <c r="T180" s="12" t="s">
        <v>2896</v>
      </c>
      <c r="U180" s="24" t="s">
        <v>2897</v>
      </c>
      <c r="V180" s="12">
        <v>69833</v>
      </c>
      <c r="W180" s="13" t="s">
        <v>544</v>
      </c>
      <c r="X180" s="13" t="s">
        <v>2898</v>
      </c>
      <c r="Y180" s="13" t="s">
        <v>546</v>
      </c>
      <c r="Z180" s="24" t="s">
        <v>547</v>
      </c>
      <c r="AA180" s="24" t="s">
        <v>2899</v>
      </c>
      <c r="AB180" s="24"/>
      <c r="AC180" s="24"/>
      <c r="AD180" s="24"/>
      <c r="AE180" s="24" t="s">
        <v>321</v>
      </c>
      <c r="AF180" s="24"/>
      <c r="AG180" s="24"/>
      <c r="AH180" s="24"/>
      <c r="AI180" s="24"/>
      <c r="AJ180" s="24"/>
      <c r="AK180" s="24" t="s">
        <v>322</v>
      </c>
      <c r="AL180" s="24" t="s">
        <v>2900</v>
      </c>
      <c r="AM180" s="24" t="s">
        <v>2901</v>
      </c>
      <c r="AN180" s="24">
        <v>43264</v>
      </c>
      <c r="AO180" s="24" t="e">
        <v>#N/A</v>
      </c>
      <c r="AP180" s="24" t="e">
        <v>#N/A</v>
      </c>
      <c r="AQ180" s="24" t="s">
        <v>2399</v>
      </c>
      <c r="AR180" s="24" t="s">
        <v>291</v>
      </c>
      <c r="AS180" s="24" t="s">
        <v>291</v>
      </c>
      <c r="AT180" s="24"/>
    </row>
    <row r="181" spans="1:46" s="23" customFormat="1" ht="15" customHeight="1">
      <c r="A181" s="11">
        <v>179</v>
      </c>
      <c r="B181" s="12">
        <v>785</v>
      </c>
      <c r="C181" s="12" t="s">
        <v>271</v>
      </c>
      <c r="D181" s="18" t="s">
        <v>153</v>
      </c>
      <c r="E181" s="13" t="s">
        <v>2902</v>
      </c>
      <c r="F181" s="11" t="s">
        <v>2903</v>
      </c>
      <c r="G181" s="12" t="s">
        <v>2904</v>
      </c>
      <c r="H181" s="24" t="s">
        <v>2859</v>
      </c>
      <c r="I181" s="13" t="s">
        <v>2905</v>
      </c>
      <c r="J181" s="13" t="s">
        <v>2906</v>
      </c>
      <c r="K181" s="24" t="s">
        <v>2907</v>
      </c>
      <c r="L181" s="13" t="s">
        <v>2908</v>
      </c>
      <c r="M181" s="13"/>
      <c r="N181" s="13" t="s">
        <v>2909</v>
      </c>
      <c r="O181" s="13" t="s">
        <v>3</v>
      </c>
      <c r="P181" s="12" t="s">
        <v>2910</v>
      </c>
      <c r="Q181" s="24" t="s">
        <v>2911</v>
      </c>
      <c r="R181" s="12">
        <v>65229</v>
      </c>
      <c r="S181" s="13" t="s">
        <v>3</v>
      </c>
      <c r="T181" s="12" t="s">
        <v>2910</v>
      </c>
      <c r="U181" s="24" t="s">
        <v>2911</v>
      </c>
      <c r="V181" s="12">
        <v>65229</v>
      </c>
      <c r="W181" s="13" t="s">
        <v>544</v>
      </c>
      <c r="X181" s="13" t="s">
        <v>2912</v>
      </c>
      <c r="Y181" s="13" t="s">
        <v>546</v>
      </c>
      <c r="Z181" s="24" t="s">
        <v>547</v>
      </c>
      <c r="AA181" s="24" t="s">
        <v>2913</v>
      </c>
      <c r="AB181" s="24"/>
      <c r="AC181" s="24"/>
      <c r="AD181" s="24"/>
      <c r="AE181" s="24" t="s">
        <v>321</v>
      </c>
      <c r="AF181" s="24"/>
      <c r="AG181" s="24"/>
      <c r="AH181" s="24"/>
      <c r="AI181" s="24"/>
      <c r="AJ181" s="24"/>
      <c r="AK181" s="24" t="s">
        <v>322</v>
      </c>
      <c r="AL181" s="24" t="s">
        <v>2914</v>
      </c>
      <c r="AM181" s="24" t="s">
        <v>2915</v>
      </c>
      <c r="AN181" s="24">
        <v>45297</v>
      </c>
      <c r="AO181" s="24" t="s">
        <v>2916</v>
      </c>
      <c r="AP181" s="24">
        <v>65236</v>
      </c>
      <c r="AQ181" s="24" t="s">
        <v>2399</v>
      </c>
      <c r="AR181" s="24" t="s">
        <v>291</v>
      </c>
      <c r="AS181" s="24" t="s">
        <v>291</v>
      </c>
      <c r="AT181" s="24"/>
    </row>
    <row r="182" spans="1:46" s="23" customFormat="1" ht="15" customHeight="1">
      <c r="A182" s="11">
        <v>180</v>
      </c>
      <c r="B182" s="12">
        <v>1104</v>
      </c>
      <c r="C182" s="12" t="s">
        <v>271</v>
      </c>
      <c r="D182" s="18" t="s">
        <v>160</v>
      </c>
      <c r="E182" s="13" t="s">
        <v>2917</v>
      </c>
      <c r="F182" s="11" t="s">
        <v>2918</v>
      </c>
      <c r="G182" s="12" t="s">
        <v>2919</v>
      </c>
      <c r="H182" s="24" t="s">
        <v>2859</v>
      </c>
      <c r="I182" s="13" t="s">
        <v>2920</v>
      </c>
      <c r="J182" s="13" t="s">
        <v>2921</v>
      </c>
      <c r="K182" s="24" t="s">
        <v>2922</v>
      </c>
      <c r="L182" s="29" t="s">
        <v>2923</v>
      </c>
      <c r="M182" s="13" t="s">
        <v>248</v>
      </c>
      <c r="N182" s="13" t="s">
        <v>2924</v>
      </c>
      <c r="O182" s="13" t="s">
        <v>3</v>
      </c>
      <c r="P182" s="12" t="s">
        <v>2925</v>
      </c>
      <c r="Q182" s="24" t="s">
        <v>2926</v>
      </c>
      <c r="R182" s="12">
        <v>65039</v>
      </c>
      <c r="S182" s="13" t="s">
        <v>3</v>
      </c>
      <c r="T182" s="12" t="s">
        <v>2925</v>
      </c>
      <c r="U182" s="24" t="s">
        <v>2926</v>
      </c>
      <c r="V182" s="12">
        <v>65039</v>
      </c>
      <c r="W182" s="13" t="s">
        <v>544</v>
      </c>
      <c r="X182" s="13" t="s">
        <v>2927</v>
      </c>
      <c r="Y182" s="13" t="s">
        <v>546</v>
      </c>
      <c r="Z182" s="24" t="s">
        <v>547</v>
      </c>
      <c r="AA182" s="24" t="s">
        <v>2928</v>
      </c>
      <c r="AB182" s="24"/>
      <c r="AC182" s="24"/>
      <c r="AD182" s="24"/>
      <c r="AE182" s="24" t="s">
        <v>321</v>
      </c>
      <c r="AF182" s="24"/>
      <c r="AG182" s="24"/>
      <c r="AH182" s="24"/>
      <c r="AI182" s="24"/>
      <c r="AJ182" s="24"/>
      <c r="AK182" s="24" t="s">
        <v>322</v>
      </c>
      <c r="AL182" s="24" t="s">
        <v>2929</v>
      </c>
      <c r="AM182" s="24" t="s">
        <v>2930</v>
      </c>
      <c r="AN182" s="24">
        <v>5081</v>
      </c>
      <c r="AO182" s="24" t="s">
        <v>2931</v>
      </c>
      <c r="AP182" s="24">
        <v>65053</v>
      </c>
      <c r="AQ182" s="24" t="s">
        <v>3</v>
      </c>
      <c r="AR182" s="24" t="s">
        <v>291</v>
      </c>
      <c r="AS182" s="24" t="s">
        <v>291</v>
      </c>
      <c r="AT182" s="24"/>
    </row>
    <row r="183" spans="1:46" s="23" customFormat="1" ht="15" customHeight="1">
      <c r="A183" s="11">
        <v>181</v>
      </c>
      <c r="B183" s="12">
        <v>8910</v>
      </c>
      <c r="C183" s="12" t="s">
        <v>271</v>
      </c>
      <c r="D183" s="18" t="s">
        <v>159</v>
      </c>
      <c r="E183" s="13" t="s">
        <v>2932</v>
      </c>
      <c r="F183" s="11" t="s">
        <v>2933</v>
      </c>
      <c r="G183" s="12" t="s">
        <v>2934</v>
      </c>
      <c r="H183" s="24" t="s">
        <v>2859</v>
      </c>
      <c r="I183" s="13" t="s">
        <v>2935</v>
      </c>
      <c r="J183" s="13" t="s">
        <v>2936</v>
      </c>
      <c r="K183" s="24" t="s">
        <v>2937</v>
      </c>
      <c r="L183" s="29" t="s">
        <v>2938</v>
      </c>
      <c r="M183" s="13" t="s">
        <v>248</v>
      </c>
      <c r="N183" s="13" t="s">
        <v>2939</v>
      </c>
      <c r="O183" s="13" t="s">
        <v>4</v>
      </c>
      <c r="P183" s="12" t="s">
        <v>2940</v>
      </c>
      <c r="Q183" s="24" t="s">
        <v>2941</v>
      </c>
      <c r="R183" s="12">
        <v>768460</v>
      </c>
      <c r="S183" s="24"/>
      <c r="T183" s="24"/>
      <c r="U183" s="24"/>
      <c r="V183" s="24" t="s">
        <v>283</v>
      </c>
      <c r="W183" s="24"/>
      <c r="X183" s="24"/>
      <c r="Y183" s="24"/>
      <c r="Z183" s="24"/>
      <c r="AA183" s="24"/>
      <c r="AB183" s="13" t="s">
        <v>4</v>
      </c>
      <c r="AC183" s="12" t="s">
        <v>2940</v>
      </c>
      <c r="AD183" s="24" t="s">
        <v>2941</v>
      </c>
      <c r="AE183" s="12">
        <v>768460</v>
      </c>
      <c r="AF183" s="13" t="s">
        <v>284</v>
      </c>
      <c r="AG183" s="13" t="s">
        <v>2942</v>
      </c>
      <c r="AH183" s="13" t="s">
        <v>286</v>
      </c>
      <c r="AI183" s="24" t="s">
        <v>287</v>
      </c>
      <c r="AJ183" s="24">
        <v>165</v>
      </c>
      <c r="AK183" s="24" t="s">
        <v>2943</v>
      </c>
      <c r="AL183" s="24" t="s">
        <v>2944</v>
      </c>
      <c r="AM183" s="24" t="s">
        <v>2945</v>
      </c>
      <c r="AN183" s="24">
        <v>42277</v>
      </c>
      <c r="AO183" s="24" t="s">
        <v>2940</v>
      </c>
      <c r="AP183" s="24">
        <v>768466</v>
      </c>
      <c r="AQ183" s="24" t="s">
        <v>2113</v>
      </c>
      <c r="AR183" s="24" t="s">
        <v>291</v>
      </c>
      <c r="AS183" s="24" t="s">
        <v>291</v>
      </c>
      <c r="AT183" s="24"/>
    </row>
    <row r="184" spans="1:46" s="23" customFormat="1" ht="15" customHeight="1">
      <c r="A184" s="11">
        <v>182</v>
      </c>
      <c r="B184" s="12">
        <v>1606</v>
      </c>
      <c r="C184" s="12" t="s">
        <v>271</v>
      </c>
      <c r="D184" s="18" t="s">
        <v>154</v>
      </c>
      <c r="E184" s="13" t="s">
        <v>2946</v>
      </c>
      <c r="F184" s="11" t="s">
        <v>2947</v>
      </c>
      <c r="G184" s="12" t="s">
        <v>2948</v>
      </c>
      <c r="H184" s="24" t="s">
        <v>2859</v>
      </c>
      <c r="I184" s="13" t="s">
        <v>2949</v>
      </c>
      <c r="J184" s="13" t="s">
        <v>2950</v>
      </c>
      <c r="K184" s="24" t="s">
        <v>2951</v>
      </c>
      <c r="L184" s="13" t="s">
        <v>2952</v>
      </c>
      <c r="M184" s="13"/>
      <c r="N184" s="13" t="s">
        <v>2953</v>
      </c>
      <c r="O184" s="13" t="s">
        <v>4</v>
      </c>
      <c r="P184" s="12" t="s">
        <v>2954</v>
      </c>
      <c r="Q184" s="24" t="s">
        <v>2955</v>
      </c>
      <c r="R184" s="12">
        <v>763440</v>
      </c>
      <c r="S184" s="24"/>
      <c r="T184" s="24"/>
      <c r="U184" s="24"/>
      <c r="V184" s="24" t="s">
        <v>283</v>
      </c>
      <c r="W184" s="24"/>
      <c r="X184" s="24"/>
      <c r="Y184" s="24"/>
      <c r="Z184" s="24"/>
      <c r="AA184" s="24"/>
      <c r="AB184" s="13" t="s">
        <v>4</v>
      </c>
      <c r="AC184" s="12" t="s">
        <v>2954</v>
      </c>
      <c r="AD184" s="24" t="s">
        <v>2955</v>
      </c>
      <c r="AE184" s="12">
        <v>763440</v>
      </c>
      <c r="AF184" s="13" t="s">
        <v>284</v>
      </c>
      <c r="AG184" s="13" t="s">
        <v>2956</v>
      </c>
      <c r="AH184" s="13" t="s">
        <v>286</v>
      </c>
      <c r="AI184" s="24" t="s">
        <v>287</v>
      </c>
      <c r="AJ184" s="24">
        <v>201</v>
      </c>
      <c r="AK184" s="24" t="s">
        <v>2957</v>
      </c>
      <c r="AL184" s="24" t="s">
        <v>2958</v>
      </c>
      <c r="AM184" s="24" t="s">
        <v>2959</v>
      </c>
      <c r="AN184" s="24">
        <v>34261</v>
      </c>
      <c r="AO184" s="24" t="s">
        <v>2954</v>
      </c>
      <c r="AP184" s="24">
        <v>763446</v>
      </c>
      <c r="AQ184" s="24" t="s">
        <v>2113</v>
      </c>
      <c r="AR184" s="24" t="s">
        <v>291</v>
      </c>
      <c r="AS184" s="24" t="s">
        <v>291</v>
      </c>
      <c r="AT184" s="24"/>
    </row>
    <row r="185" spans="1:46" s="23" customFormat="1" ht="15" customHeight="1">
      <c r="A185" s="11">
        <v>183</v>
      </c>
      <c r="B185" s="12">
        <v>1613</v>
      </c>
      <c r="C185" s="12" t="s">
        <v>271</v>
      </c>
      <c r="D185" s="18" t="s">
        <v>2960</v>
      </c>
      <c r="E185" s="13" t="s">
        <v>2961</v>
      </c>
      <c r="F185" s="11" t="s">
        <v>2962</v>
      </c>
      <c r="G185" s="12" t="s">
        <v>2963</v>
      </c>
      <c r="H185" s="24" t="s">
        <v>2859</v>
      </c>
      <c r="I185" s="13" t="s">
        <v>2964</v>
      </c>
      <c r="J185" s="13" t="s">
        <v>2965</v>
      </c>
      <c r="K185" s="24" t="s">
        <v>2966</v>
      </c>
      <c r="L185" s="29" t="s">
        <v>2967</v>
      </c>
      <c r="M185" s="13" t="s">
        <v>248</v>
      </c>
      <c r="N185" s="13" t="s">
        <v>2968</v>
      </c>
      <c r="O185" s="13" t="s">
        <v>3</v>
      </c>
      <c r="P185" s="12" t="s">
        <v>2969</v>
      </c>
      <c r="Q185" s="24" t="s">
        <v>2970</v>
      </c>
      <c r="R185" s="12">
        <v>69346</v>
      </c>
      <c r="S185" s="13" t="s">
        <v>3</v>
      </c>
      <c r="T185" s="12" t="s">
        <v>2969</v>
      </c>
      <c r="U185" s="24" t="s">
        <v>2970</v>
      </c>
      <c r="V185" s="12">
        <v>69346</v>
      </c>
      <c r="W185" s="13" t="s">
        <v>544</v>
      </c>
      <c r="X185" s="13" t="s">
        <v>2971</v>
      </c>
      <c r="Y185" s="13" t="s">
        <v>546</v>
      </c>
      <c r="Z185" s="24" t="s">
        <v>547</v>
      </c>
      <c r="AA185" s="24" t="s">
        <v>2972</v>
      </c>
      <c r="AB185" s="24"/>
      <c r="AC185" s="24"/>
      <c r="AD185" s="24"/>
      <c r="AE185" s="24" t="s">
        <v>321</v>
      </c>
      <c r="AF185" s="24"/>
      <c r="AG185" s="24"/>
      <c r="AH185" s="24"/>
      <c r="AI185" s="24"/>
      <c r="AJ185" s="24"/>
      <c r="AK185" s="24" t="s">
        <v>322</v>
      </c>
      <c r="AL185" s="24" t="s">
        <v>2973</v>
      </c>
      <c r="AM185" s="24" t="s">
        <v>2974</v>
      </c>
      <c r="AN185" s="24">
        <v>33976</v>
      </c>
      <c r="AO185" s="24" t="s">
        <v>2975</v>
      </c>
      <c r="AP185" s="24">
        <v>69347</v>
      </c>
      <c r="AQ185" s="24" t="s">
        <v>2399</v>
      </c>
      <c r="AR185" s="24" t="s">
        <v>291</v>
      </c>
      <c r="AS185" s="24" t="s">
        <v>291</v>
      </c>
      <c r="AT185" s="24"/>
    </row>
    <row r="186" spans="1:46" s="23" customFormat="1" ht="15" customHeight="1">
      <c r="A186" s="11">
        <v>184</v>
      </c>
      <c r="B186" s="12">
        <v>1625</v>
      </c>
      <c r="C186" s="12" t="s">
        <v>271</v>
      </c>
      <c r="D186" s="18" t="s">
        <v>150</v>
      </c>
      <c r="E186" s="13" t="s">
        <v>2976</v>
      </c>
      <c r="F186" s="11" t="s">
        <v>2977</v>
      </c>
      <c r="G186" s="12" t="s">
        <v>2978</v>
      </c>
      <c r="H186" s="24" t="s">
        <v>2859</v>
      </c>
      <c r="I186" s="13" t="s">
        <v>2979</v>
      </c>
      <c r="J186" s="13" t="s">
        <v>2980</v>
      </c>
      <c r="K186" s="24" t="s">
        <v>2981</v>
      </c>
      <c r="L186" s="29" t="s">
        <v>2982</v>
      </c>
      <c r="M186" s="13" t="s">
        <v>248</v>
      </c>
      <c r="N186" s="13" t="s">
        <v>2983</v>
      </c>
      <c r="O186" s="13" t="s">
        <v>3</v>
      </c>
      <c r="P186" s="12" t="s">
        <v>2984</v>
      </c>
      <c r="Q186" s="24" t="s">
        <v>2985</v>
      </c>
      <c r="R186" s="12">
        <v>67252</v>
      </c>
      <c r="S186" s="13" t="s">
        <v>3</v>
      </c>
      <c r="T186" s="12" t="s">
        <v>2984</v>
      </c>
      <c r="U186" s="24" t="s">
        <v>2985</v>
      </c>
      <c r="V186" s="12">
        <v>67252</v>
      </c>
      <c r="W186" s="13" t="s">
        <v>544</v>
      </c>
      <c r="X186" s="13" t="s">
        <v>2986</v>
      </c>
      <c r="Y186" s="13" t="s">
        <v>546</v>
      </c>
      <c r="Z186" s="24" t="s">
        <v>547</v>
      </c>
      <c r="AA186" s="24" t="s">
        <v>2987</v>
      </c>
      <c r="AB186" s="24"/>
      <c r="AC186" s="24"/>
      <c r="AD186" s="24"/>
      <c r="AE186" s="24" t="s">
        <v>321</v>
      </c>
      <c r="AF186" s="24"/>
      <c r="AG186" s="24"/>
      <c r="AH186" s="24"/>
      <c r="AI186" s="24"/>
      <c r="AJ186" s="24"/>
      <c r="AK186" s="24" t="s">
        <v>322</v>
      </c>
      <c r="AL186" s="24" t="s">
        <v>2988</v>
      </c>
      <c r="AM186" s="24" t="s">
        <v>2989</v>
      </c>
      <c r="AN186" s="24">
        <v>43577</v>
      </c>
      <c r="AO186" s="25" t="s">
        <v>2984</v>
      </c>
      <c r="AP186" s="25">
        <v>67252</v>
      </c>
      <c r="AQ186" s="24" t="s">
        <v>2399</v>
      </c>
      <c r="AR186" s="24" t="s">
        <v>291</v>
      </c>
      <c r="AS186" s="24" t="s">
        <v>291</v>
      </c>
      <c r="AT186" s="24" t="s">
        <v>2990</v>
      </c>
    </row>
    <row r="187" spans="1:46" s="23" customFormat="1" ht="15" customHeight="1">
      <c r="A187" s="11">
        <v>185</v>
      </c>
      <c r="B187" s="12">
        <v>5857</v>
      </c>
      <c r="C187" s="12" t="s">
        <v>271</v>
      </c>
      <c r="D187" s="18" t="s">
        <v>165</v>
      </c>
      <c r="E187" s="13" t="s">
        <v>2991</v>
      </c>
      <c r="F187" s="11" t="s">
        <v>2992</v>
      </c>
      <c r="G187" s="12" t="s">
        <v>2993</v>
      </c>
      <c r="H187" s="24" t="s">
        <v>2859</v>
      </c>
      <c r="I187" s="13" t="s">
        <v>2994</v>
      </c>
      <c r="J187" s="13" t="s">
        <v>2995</v>
      </c>
      <c r="K187" s="24" t="s">
        <v>2996</v>
      </c>
      <c r="L187" s="29" t="s">
        <v>2997</v>
      </c>
      <c r="M187" s="13" t="s">
        <v>248</v>
      </c>
      <c r="N187" s="13" t="s">
        <v>2998</v>
      </c>
      <c r="O187" s="13" t="s">
        <v>4</v>
      </c>
      <c r="P187" s="12" t="s">
        <v>2999</v>
      </c>
      <c r="Q187" s="24" t="s">
        <v>3000</v>
      </c>
      <c r="R187" s="12">
        <v>781500</v>
      </c>
      <c r="S187" s="24"/>
      <c r="T187" s="24"/>
      <c r="U187" s="24"/>
      <c r="V187" s="24" t="s">
        <v>283</v>
      </c>
      <c r="W187" s="24"/>
      <c r="X187" s="24"/>
      <c r="Y187" s="24"/>
      <c r="Z187" s="24"/>
      <c r="AA187" s="24"/>
      <c r="AB187" s="13" t="s">
        <v>4</v>
      </c>
      <c r="AC187" s="12" t="s">
        <v>2999</v>
      </c>
      <c r="AD187" s="24" t="s">
        <v>3000</v>
      </c>
      <c r="AE187" s="12">
        <v>781500</v>
      </c>
      <c r="AF187" s="13" t="s">
        <v>284</v>
      </c>
      <c r="AG187" s="13" t="s">
        <v>3001</v>
      </c>
      <c r="AH187" s="13" t="s">
        <v>286</v>
      </c>
      <c r="AI187" s="24" t="s">
        <v>287</v>
      </c>
      <c r="AJ187" s="24">
        <v>258</v>
      </c>
      <c r="AK187" s="24" t="s">
        <v>3002</v>
      </c>
      <c r="AL187" s="24" t="s">
        <v>3003</v>
      </c>
      <c r="AM187" s="24" t="s">
        <v>3004</v>
      </c>
      <c r="AN187" s="24">
        <v>44428</v>
      </c>
      <c r="AO187" s="25" t="s">
        <v>1180</v>
      </c>
      <c r="AP187" s="24">
        <v>781506</v>
      </c>
      <c r="AQ187" s="24" t="s">
        <v>2113</v>
      </c>
      <c r="AR187" s="24" t="s">
        <v>291</v>
      </c>
      <c r="AS187" s="24" t="s">
        <v>291</v>
      </c>
      <c r="AT187" s="24" t="s">
        <v>3005</v>
      </c>
    </row>
    <row r="188" spans="1:46" s="23" customFormat="1" ht="15" customHeight="1">
      <c r="A188" s="11">
        <v>186</v>
      </c>
      <c r="B188" s="12">
        <v>8477</v>
      </c>
      <c r="C188" s="12" t="s">
        <v>271</v>
      </c>
      <c r="D188" s="18" t="s">
        <v>3006</v>
      </c>
      <c r="E188" s="13" t="s">
        <v>3007</v>
      </c>
      <c r="F188" s="11" t="s">
        <v>3008</v>
      </c>
      <c r="G188" s="12" t="s">
        <v>3009</v>
      </c>
      <c r="H188" s="24" t="s">
        <v>2859</v>
      </c>
      <c r="I188" s="13" t="s">
        <v>3010</v>
      </c>
      <c r="J188" s="13" t="s">
        <v>3011</v>
      </c>
      <c r="K188" s="24" t="s">
        <v>3012</v>
      </c>
      <c r="L188" s="13" t="s">
        <v>3013</v>
      </c>
      <c r="M188" s="13"/>
      <c r="N188" s="13" t="s">
        <v>3014</v>
      </c>
      <c r="O188" s="13" t="s">
        <v>3</v>
      </c>
      <c r="P188" s="12" t="s">
        <v>3015</v>
      </c>
      <c r="Q188" s="24" t="s">
        <v>3016</v>
      </c>
      <c r="R188" s="12">
        <v>65314</v>
      </c>
      <c r="S188" s="13" t="s">
        <v>3</v>
      </c>
      <c r="T188" s="12" t="s">
        <v>3015</v>
      </c>
      <c r="U188" s="24" t="s">
        <v>3016</v>
      </c>
      <c r="V188" s="12">
        <v>65314</v>
      </c>
      <c r="W188" s="13" t="s">
        <v>544</v>
      </c>
      <c r="X188" s="13" t="s">
        <v>3017</v>
      </c>
      <c r="Y188" s="13" t="s">
        <v>546</v>
      </c>
      <c r="Z188" s="24" t="s">
        <v>547</v>
      </c>
      <c r="AA188" s="24" t="s">
        <v>3018</v>
      </c>
      <c r="AB188" s="24"/>
      <c r="AC188" s="24"/>
      <c r="AD188" s="24"/>
      <c r="AE188" s="24" t="s">
        <v>321</v>
      </c>
      <c r="AF188" s="24"/>
      <c r="AG188" s="24"/>
      <c r="AH188" s="24"/>
      <c r="AI188" s="24"/>
      <c r="AJ188" s="24"/>
      <c r="AK188" s="24" t="s">
        <v>322</v>
      </c>
      <c r="AL188" s="24" t="s">
        <v>3019</v>
      </c>
      <c r="AM188" s="24" t="s">
        <v>3020</v>
      </c>
      <c r="AN188" s="24">
        <v>44688</v>
      </c>
      <c r="AO188" s="24" t="s">
        <v>3021</v>
      </c>
      <c r="AP188" s="24">
        <v>65329</v>
      </c>
      <c r="AQ188" s="24" t="s">
        <v>2399</v>
      </c>
      <c r="AR188" s="24" t="s">
        <v>291</v>
      </c>
      <c r="AS188" s="24" t="s">
        <v>291</v>
      </c>
      <c r="AT188" s="24"/>
    </row>
    <row r="189" spans="1:46" s="23" customFormat="1" ht="15" customHeight="1">
      <c r="A189" s="11">
        <v>187</v>
      </c>
      <c r="B189" s="12">
        <v>8768</v>
      </c>
      <c r="C189" s="12"/>
      <c r="D189" s="18" t="s">
        <v>3022</v>
      </c>
      <c r="E189" s="13" t="s">
        <v>3023</v>
      </c>
      <c r="F189" s="11" t="s">
        <v>3024</v>
      </c>
      <c r="G189" s="12" t="s">
        <v>3025</v>
      </c>
      <c r="H189" s="24" t="s">
        <v>2859</v>
      </c>
      <c r="I189" s="11" t="s">
        <v>3026</v>
      </c>
      <c r="J189" s="11" t="s">
        <v>3027</v>
      </c>
      <c r="K189" s="24" t="s">
        <v>3028</v>
      </c>
      <c r="L189" s="11" t="s">
        <v>3029</v>
      </c>
      <c r="M189" s="13"/>
      <c r="N189" s="13" t="s">
        <v>3030</v>
      </c>
      <c r="O189" s="13" t="s">
        <v>4</v>
      </c>
      <c r="P189" s="12" t="s">
        <v>2999</v>
      </c>
      <c r="Q189" s="24" t="s">
        <v>3031</v>
      </c>
      <c r="R189" s="12">
        <v>785640</v>
      </c>
      <c r="S189" s="24"/>
      <c r="T189" s="24"/>
      <c r="U189" s="24"/>
      <c r="V189" s="24" t="s">
        <v>283</v>
      </c>
      <c r="W189" s="24"/>
      <c r="X189" s="24"/>
      <c r="Y189" s="24"/>
      <c r="Z189" s="24"/>
      <c r="AA189" s="24"/>
      <c r="AB189" s="13" t="s">
        <v>4</v>
      </c>
      <c r="AC189" s="12" t="s">
        <v>2999</v>
      </c>
      <c r="AD189" s="24" t="s">
        <v>3031</v>
      </c>
      <c r="AE189" s="12">
        <v>785640</v>
      </c>
      <c r="AF189" s="13" t="s">
        <v>284</v>
      </c>
      <c r="AG189" s="13" t="s">
        <v>3032</v>
      </c>
      <c r="AH189" s="13" t="s">
        <v>286</v>
      </c>
      <c r="AI189" s="25" t="s">
        <v>303</v>
      </c>
      <c r="AJ189" s="24">
        <v>63</v>
      </c>
      <c r="AK189" s="24" t="s">
        <v>3033</v>
      </c>
      <c r="AL189" s="24" t="s">
        <v>3034</v>
      </c>
      <c r="AM189" s="24" t="s">
        <v>3035</v>
      </c>
      <c r="AN189" s="24">
        <v>35512</v>
      </c>
      <c r="AO189" s="24" t="s">
        <v>2999</v>
      </c>
      <c r="AP189" s="24">
        <v>785646</v>
      </c>
      <c r="AQ189" s="24" t="s">
        <v>2113</v>
      </c>
      <c r="AR189" s="24" t="s">
        <v>291</v>
      </c>
      <c r="AS189" s="24" t="s">
        <v>291</v>
      </c>
      <c r="AT189" s="24"/>
    </row>
    <row r="190" spans="1:46" s="23" customFormat="1" ht="15" customHeight="1">
      <c r="A190" s="11">
        <v>188</v>
      </c>
      <c r="B190" s="12">
        <v>9350</v>
      </c>
      <c r="C190" s="12" t="s">
        <v>271</v>
      </c>
      <c r="D190" s="18" t="s">
        <v>163</v>
      </c>
      <c r="E190" s="13" t="s">
        <v>3036</v>
      </c>
      <c r="F190" s="11" t="s">
        <v>3037</v>
      </c>
      <c r="G190" s="12" t="s">
        <v>3038</v>
      </c>
      <c r="H190" s="24" t="s">
        <v>2859</v>
      </c>
      <c r="I190" s="13" t="s">
        <v>3039</v>
      </c>
      <c r="J190" s="13" t="s">
        <v>3040</v>
      </c>
      <c r="K190" s="24" t="s">
        <v>3041</v>
      </c>
      <c r="L190" s="29" t="s">
        <v>3042</v>
      </c>
      <c r="M190" s="13" t="s">
        <v>248</v>
      </c>
      <c r="N190" s="13" t="s">
        <v>3043</v>
      </c>
      <c r="O190" s="13" t="s">
        <v>3</v>
      </c>
      <c r="P190" s="12" t="s">
        <v>3044</v>
      </c>
      <c r="Q190" s="24" t="s">
        <v>2866</v>
      </c>
      <c r="R190" s="12">
        <v>65214</v>
      </c>
      <c r="S190" s="13" t="s">
        <v>3</v>
      </c>
      <c r="T190" s="12" t="s">
        <v>3044</v>
      </c>
      <c r="U190" s="24" t="s">
        <v>2866</v>
      </c>
      <c r="V190" s="12">
        <v>65214</v>
      </c>
      <c r="W190" s="13" t="s">
        <v>544</v>
      </c>
      <c r="X190" s="13" t="s">
        <v>3045</v>
      </c>
      <c r="Y190" s="13" t="s">
        <v>546</v>
      </c>
      <c r="Z190" s="24" t="s">
        <v>547</v>
      </c>
      <c r="AA190" s="24" t="s">
        <v>3046</v>
      </c>
      <c r="AB190" s="24"/>
      <c r="AC190" s="24"/>
      <c r="AD190" s="24"/>
      <c r="AE190" s="24" t="s">
        <v>321</v>
      </c>
      <c r="AF190" s="24"/>
      <c r="AG190" s="24"/>
      <c r="AH190" s="24"/>
      <c r="AI190" s="24"/>
      <c r="AJ190" s="24"/>
      <c r="AK190" s="24" t="s">
        <v>322</v>
      </c>
      <c r="AL190" s="24" t="s">
        <v>3047</v>
      </c>
      <c r="AM190" s="24" t="s">
        <v>3048</v>
      </c>
      <c r="AN190" s="24">
        <v>37975</v>
      </c>
      <c r="AO190" s="24" t="s">
        <v>3049</v>
      </c>
      <c r="AP190" s="24">
        <v>65221</v>
      </c>
      <c r="AQ190" s="24" t="s">
        <v>3</v>
      </c>
      <c r="AR190" s="24" t="s">
        <v>291</v>
      </c>
      <c r="AS190" s="24" t="s">
        <v>291</v>
      </c>
      <c r="AT190" s="24"/>
    </row>
    <row r="191" spans="1:46" s="23" customFormat="1" ht="15" customHeight="1">
      <c r="A191" s="11">
        <v>189</v>
      </c>
      <c r="B191" s="12">
        <v>8942</v>
      </c>
      <c r="C191" s="12" t="s">
        <v>271</v>
      </c>
      <c r="D191" s="18" t="s">
        <v>161</v>
      </c>
      <c r="E191" s="13" t="s">
        <v>3050</v>
      </c>
      <c r="F191" s="11" t="s">
        <v>3051</v>
      </c>
      <c r="G191" s="12" t="s">
        <v>3052</v>
      </c>
      <c r="H191" s="24" t="s">
        <v>2859</v>
      </c>
      <c r="I191" s="13" t="s">
        <v>3053</v>
      </c>
      <c r="J191" s="13" t="s">
        <v>3054</v>
      </c>
      <c r="K191" s="24" t="s">
        <v>3055</v>
      </c>
      <c r="L191" s="29" t="s">
        <v>3056</v>
      </c>
      <c r="M191" s="13" t="s">
        <v>248</v>
      </c>
      <c r="N191" s="13" t="s">
        <v>3057</v>
      </c>
      <c r="O191" s="13" t="s">
        <v>3</v>
      </c>
      <c r="P191" s="12" t="s">
        <v>3058</v>
      </c>
      <c r="Q191" s="24" t="s">
        <v>3059</v>
      </c>
      <c r="R191" s="12">
        <v>66318</v>
      </c>
      <c r="S191" s="13" t="s">
        <v>3</v>
      </c>
      <c r="T191" s="12" t="s">
        <v>3058</v>
      </c>
      <c r="U191" s="24" t="s">
        <v>3059</v>
      </c>
      <c r="V191" s="12">
        <v>66318</v>
      </c>
      <c r="W191" s="13" t="s">
        <v>544</v>
      </c>
      <c r="X191" s="13" t="s">
        <v>3060</v>
      </c>
      <c r="Y191" s="13" t="s">
        <v>546</v>
      </c>
      <c r="Z191" s="24" t="s">
        <v>547</v>
      </c>
      <c r="AA191" s="24" t="s">
        <v>3061</v>
      </c>
      <c r="AB191" s="24"/>
      <c r="AC191" s="24"/>
      <c r="AD191" s="24"/>
      <c r="AE191" s="24" t="s">
        <v>321</v>
      </c>
      <c r="AF191" s="24"/>
      <c r="AG191" s="24"/>
      <c r="AH191" s="24"/>
      <c r="AI191" s="24"/>
      <c r="AJ191" s="24"/>
      <c r="AK191" s="24" t="s">
        <v>322</v>
      </c>
      <c r="AL191" s="24" t="s">
        <v>3062</v>
      </c>
      <c r="AM191" s="24" t="s">
        <v>3063</v>
      </c>
      <c r="AN191" s="24">
        <v>38861</v>
      </c>
      <c r="AO191" s="24" t="s">
        <v>3064</v>
      </c>
      <c r="AP191" s="24">
        <v>66319</v>
      </c>
      <c r="AQ191" s="24" t="s">
        <v>2399</v>
      </c>
      <c r="AR191" s="24" t="s">
        <v>291</v>
      </c>
      <c r="AS191" s="24" t="s">
        <v>291</v>
      </c>
      <c r="AT191" s="24"/>
    </row>
    <row r="192" spans="1:46" s="23" customFormat="1" ht="15" customHeight="1">
      <c r="A192" s="11">
        <v>190</v>
      </c>
      <c r="B192" s="12">
        <v>9045</v>
      </c>
      <c r="C192" s="12"/>
      <c r="D192" s="18" t="s">
        <v>3065</v>
      </c>
      <c r="E192" s="13" t="s">
        <v>3066</v>
      </c>
      <c r="F192" s="11" t="s">
        <v>3067</v>
      </c>
      <c r="G192" s="12" t="s">
        <v>3068</v>
      </c>
      <c r="H192" s="24" t="s">
        <v>2859</v>
      </c>
      <c r="I192" s="11" t="s">
        <v>3069</v>
      </c>
      <c r="J192" s="11" t="s">
        <v>3070</v>
      </c>
      <c r="K192" s="24" t="s">
        <v>3071</v>
      </c>
      <c r="L192" s="11" t="s">
        <v>3072</v>
      </c>
      <c r="M192" s="13"/>
      <c r="N192" s="13" t="s">
        <v>3073</v>
      </c>
      <c r="O192" s="13" t="s">
        <v>4</v>
      </c>
      <c r="P192" s="12" t="s">
        <v>2881</v>
      </c>
      <c r="Q192" s="24" t="s">
        <v>3059</v>
      </c>
      <c r="R192" s="12">
        <v>756500</v>
      </c>
      <c r="S192" s="24"/>
      <c r="T192" s="24"/>
      <c r="U192" s="24"/>
      <c r="V192" s="24" t="s">
        <v>283</v>
      </c>
      <c r="W192" s="24"/>
      <c r="X192" s="24"/>
      <c r="Y192" s="24"/>
      <c r="Z192" s="24"/>
      <c r="AA192" s="24"/>
      <c r="AB192" s="13" t="s">
        <v>4</v>
      </c>
      <c r="AC192" s="12" t="s">
        <v>2881</v>
      </c>
      <c r="AD192" s="24" t="s">
        <v>3059</v>
      </c>
      <c r="AE192" s="12">
        <v>756500</v>
      </c>
      <c r="AF192" s="13" t="s">
        <v>284</v>
      </c>
      <c r="AG192" s="13" t="s">
        <v>3074</v>
      </c>
      <c r="AH192" s="13" t="s">
        <v>286</v>
      </c>
      <c r="AI192" s="25" t="s">
        <v>303</v>
      </c>
      <c r="AJ192" s="24">
        <v>43</v>
      </c>
      <c r="AK192" s="24" t="s">
        <v>3075</v>
      </c>
      <c r="AL192" s="24" t="s">
        <v>3076</v>
      </c>
      <c r="AM192" s="24" t="s">
        <v>3077</v>
      </c>
      <c r="AN192" s="24">
        <v>17360</v>
      </c>
      <c r="AO192" s="24" t="s">
        <v>2881</v>
      </c>
      <c r="AP192" s="24">
        <v>756506</v>
      </c>
      <c r="AQ192" s="24" t="s">
        <v>2113</v>
      </c>
      <c r="AR192" s="24" t="s">
        <v>291</v>
      </c>
      <c r="AS192" s="24" t="s">
        <v>291</v>
      </c>
      <c r="AT192" s="24"/>
    </row>
    <row r="193" spans="1:46" s="23" customFormat="1" ht="15" customHeight="1">
      <c r="A193" s="11">
        <v>191</v>
      </c>
      <c r="B193" s="12">
        <v>8944</v>
      </c>
      <c r="C193" s="12" t="s">
        <v>271</v>
      </c>
      <c r="D193" s="18" t="s">
        <v>156</v>
      </c>
      <c r="E193" s="13" t="s">
        <v>3078</v>
      </c>
      <c r="F193" s="11" t="s">
        <v>3079</v>
      </c>
      <c r="G193" s="12" t="s">
        <v>3080</v>
      </c>
      <c r="H193" s="24" t="s">
        <v>2859</v>
      </c>
      <c r="I193" s="13" t="s">
        <v>3081</v>
      </c>
      <c r="J193" s="13" t="s">
        <v>3082</v>
      </c>
      <c r="K193" s="24" t="s">
        <v>3083</v>
      </c>
      <c r="L193" s="29" t="s">
        <v>3084</v>
      </c>
      <c r="M193" s="13" t="s">
        <v>248</v>
      </c>
      <c r="N193" s="13" t="s">
        <v>3085</v>
      </c>
      <c r="O193" s="13" t="s">
        <v>3</v>
      </c>
      <c r="P193" s="12" t="s">
        <v>3086</v>
      </c>
      <c r="Q193" s="24" t="s">
        <v>3087</v>
      </c>
      <c r="R193" s="12">
        <v>65344</v>
      </c>
      <c r="S193" s="13" t="s">
        <v>3</v>
      </c>
      <c r="T193" s="12" t="s">
        <v>3086</v>
      </c>
      <c r="U193" s="24" t="s">
        <v>3087</v>
      </c>
      <c r="V193" s="12">
        <v>65344</v>
      </c>
      <c r="W193" s="13" t="s">
        <v>544</v>
      </c>
      <c r="X193" s="13" t="s">
        <v>3088</v>
      </c>
      <c r="Y193" s="13" t="s">
        <v>546</v>
      </c>
      <c r="Z193" s="24" t="s">
        <v>547</v>
      </c>
      <c r="AA193" s="24" t="s">
        <v>3089</v>
      </c>
      <c r="AB193" s="24"/>
      <c r="AC193" s="24"/>
      <c r="AD193" s="24"/>
      <c r="AE193" s="24" t="s">
        <v>321</v>
      </c>
      <c r="AF193" s="24"/>
      <c r="AG193" s="24"/>
      <c r="AH193" s="24"/>
      <c r="AI193" s="24"/>
      <c r="AJ193" s="24"/>
      <c r="AK193" s="24" t="s">
        <v>322</v>
      </c>
      <c r="AL193" s="24" t="s">
        <v>3090</v>
      </c>
      <c r="AM193" s="24" t="s">
        <v>3091</v>
      </c>
      <c r="AN193" s="24">
        <v>35960</v>
      </c>
      <c r="AO193" s="24" t="s">
        <v>3092</v>
      </c>
      <c r="AP193" s="24">
        <v>65348</v>
      </c>
      <c r="AQ193" s="24" t="s">
        <v>2399</v>
      </c>
      <c r="AR193" s="24" t="s">
        <v>291</v>
      </c>
      <c r="AS193" s="24" t="s">
        <v>291</v>
      </c>
      <c r="AT193" s="24"/>
    </row>
    <row r="194" spans="1:46" s="23" customFormat="1" ht="15" customHeight="1">
      <c r="A194" s="11">
        <v>192</v>
      </c>
      <c r="B194" s="12">
        <v>8958</v>
      </c>
      <c r="C194" s="12" t="s">
        <v>271</v>
      </c>
      <c r="D194" s="18" t="s">
        <v>157</v>
      </c>
      <c r="E194" s="13" t="s">
        <v>3093</v>
      </c>
      <c r="F194" s="11" t="s">
        <v>3094</v>
      </c>
      <c r="G194" s="12" t="s">
        <v>3095</v>
      </c>
      <c r="H194" s="24" t="s">
        <v>2859</v>
      </c>
      <c r="I194" s="13" t="s">
        <v>3096</v>
      </c>
      <c r="J194" s="13" t="s">
        <v>3097</v>
      </c>
      <c r="K194" s="24" t="s">
        <v>3098</v>
      </c>
      <c r="L194" s="13" t="s">
        <v>3099</v>
      </c>
      <c r="M194" s="13"/>
      <c r="N194" s="13" t="s">
        <v>3100</v>
      </c>
      <c r="O194" s="13" t="s">
        <v>4</v>
      </c>
      <c r="P194" s="12" t="s">
        <v>3101</v>
      </c>
      <c r="Q194" s="24" t="s">
        <v>3102</v>
      </c>
      <c r="R194" s="12">
        <v>762410</v>
      </c>
      <c r="S194" s="24"/>
      <c r="T194" s="24"/>
      <c r="U194" s="24"/>
      <c r="V194" s="24" t="s">
        <v>283</v>
      </c>
      <c r="W194" s="24"/>
      <c r="X194" s="24"/>
      <c r="Y194" s="24"/>
      <c r="Z194" s="24"/>
      <c r="AA194" s="24"/>
      <c r="AB194" s="13" t="s">
        <v>4</v>
      </c>
      <c r="AC194" s="12" t="s">
        <v>3101</v>
      </c>
      <c r="AD194" s="24" t="s">
        <v>3102</v>
      </c>
      <c r="AE194" s="12">
        <v>762410</v>
      </c>
      <c r="AF194" s="13" t="s">
        <v>284</v>
      </c>
      <c r="AG194" s="13" t="s">
        <v>3103</v>
      </c>
      <c r="AH194" s="13" t="s">
        <v>286</v>
      </c>
      <c r="AI194" s="24" t="s">
        <v>287</v>
      </c>
      <c r="AJ194" s="24">
        <v>137</v>
      </c>
      <c r="AK194" s="24" t="s">
        <v>3104</v>
      </c>
      <c r="AL194" s="24" t="s">
        <v>3105</v>
      </c>
      <c r="AM194" s="24" t="s">
        <v>3106</v>
      </c>
      <c r="AN194" s="24">
        <v>39421</v>
      </c>
      <c r="AO194" s="24" t="s">
        <v>3101</v>
      </c>
      <c r="AP194" s="24">
        <v>762416</v>
      </c>
      <c r="AQ194" s="24" t="s">
        <v>2113</v>
      </c>
      <c r="AR194" s="24" t="s">
        <v>291</v>
      </c>
      <c r="AS194" s="24" t="s">
        <v>291</v>
      </c>
      <c r="AT194" s="24"/>
    </row>
    <row r="195" spans="1:46" s="23" customFormat="1" ht="15" customHeight="1">
      <c r="A195" s="11">
        <v>193</v>
      </c>
      <c r="B195" s="12">
        <v>8960</v>
      </c>
      <c r="C195" s="12" t="s">
        <v>271</v>
      </c>
      <c r="D195" s="18" t="s">
        <v>162</v>
      </c>
      <c r="E195" s="13" t="s">
        <v>3107</v>
      </c>
      <c r="F195" s="11" t="s">
        <v>3108</v>
      </c>
      <c r="G195" s="12" t="s">
        <v>3109</v>
      </c>
      <c r="H195" s="24" t="s">
        <v>2859</v>
      </c>
      <c r="I195" s="13" t="s">
        <v>3110</v>
      </c>
      <c r="J195" s="13" t="s">
        <v>3111</v>
      </c>
      <c r="K195" s="24" t="s">
        <v>3112</v>
      </c>
      <c r="L195" s="29" t="s">
        <v>3113</v>
      </c>
      <c r="M195" s="13" t="s">
        <v>248</v>
      </c>
      <c r="N195" s="13" t="s">
        <v>3114</v>
      </c>
      <c r="O195" s="13" t="s">
        <v>3</v>
      </c>
      <c r="P195" s="12" t="s">
        <v>3115</v>
      </c>
      <c r="Q195" s="24" t="s">
        <v>3059</v>
      </c>
      <c r="R195" s="12">
        <v>66993</v>
      </c>
      <c r="S195" s="13" t="s">
        <v>3</v>
      </c>
      <c r="T195" s="12" t="s">
        <v>3115</v>
      </c>
      <c r="U195" s="24" t="s">
        <v>3059</v>
      </c>
      <c r="V195" s="12">
        <v>66993</v>
      </c>
      <c r="W195" s="13" t="s">
        <v>544</v>
      </c>
      <c r="X195" s="13" t="s">
        <v>3116</v>
      </c>
      <c r="Y195" s="13" t="s">
        <v>546</v>
      </c>
      <c r="Z195" s="24" t="s">
        <v>547</v>
      </c>
      <c r="AA195" s="24" t="s">
        <v>3117</v>
      </c>
      <c r="AB195" s="24"/>
      <c r="AC195" s="24"/>
      <c r="AD195" s="24"/>
      <c r="AE195" s="24" t="s">
        <v>321</v>
      </c>
      <c r="AF195" s="24"/>
      <c r="AG195" s="24"/>
      <c r="AH195" s="24"/>
      <c r="AI195" s="24"/>
      <c r="AJ195" s="24"/>
      <c r="AK195" s="24" t="s">
        <v>322</v>
      </c>
      <c r="AL195" s="24" t="s">
        <v>3118</v>
      </c>
      <c r="AM195" s="24" t="s">
        <v>3119</v>
      </c>
      <c r="AN195" s="24">
        <v>37351</v>
      </c>
      <c r="AO195" s="24" t="s">
        <v>3120</v>
      </c>
      <c r="AP195" s="24">
        <v>66994</v>
      </c>
      <c r="AQ195" s="24" t="s">
        <v>2399</v>
      </c>
      <c r="AR195" s="24" t="s">
        <v>291</v>
      </c>
      <c r="AS195" s="24" t="s">
        <v>291</v>
      </c>
      <c r="AT195" s="24"/>
    </row>
    <row r="196" spans="1:46" s="23" customFormat="1" ht="15" customHeight="1">
      <c r="A196" s="11">
        <v>194</v>
      </c>
      <c r="B196" s="12">
        <v>8967</v>
      </c>
      <c r="C196" s="12" t="s">
        <v>271</v>
      </c>
      <c r="D196" s="18" t="s">
        <v>152</v>
      </c>
      <c r="E196" s="13" t="s">
        <v>3121</v>
      </c>
      <c r="F196" s="11" t="s">
        <v>3122</v>
      </c>
      <c r="G196" s="12" t="s">
        <v>3123</v>
      </c>
      <c r="H196" s="24" t="s">
        <v>2859</v>
      </c>
      <c r="I196" s="13" t="s">
        <v>3124</v>
      </c>
      <c r="J196" s="13" t="s">
        <v>3125</v>
      </c>
      <c r="K196" s="24" t="s">
        <v>3126</v>
      </c>
      <c r="L196" s="13" t="s">
        <v>3127</v>
      </c>
      <c r="M196" s="13"/>
      <c r="N196" s="13" t="s">
        <v>3128</v>
      </c>
      <c r="O196" s="13" t="s">
        <v>4</v>
      </c>
      <c r="P196" s="12" t="s">
        <v>3129</v>
      </c>
      <c r="Q196" s="24" t="s">
        <v>3130</v>
      </c>
      <c r="R196" s="12">
        <v>743750</v>
      </c>
      <c r="S196" s="24"/>
      <c r="T196" s="24"/>
      <c r="U196" s="24"/>
      <c r="V196" s="24" t="s">
        <v>283</v>
      </c>
      <c r="W196" s="24"/>
      <c r="X196" s="24"/>
      <c r="Y196" s="24"/>
      <c r="Z196" s="24"/>
      <c r="AA196" s="24"/>
      <c r="AB196" s="13" t="s">
        <v>4</v>
      </c>
      <c r="AC196" s="12" t="s">
        <v>3129</v>
      </c>
      <c r="AD196" s="24" t="s">
        <v>3130</v>
      </c>
      <c r="AE196" s="12">
        <v>743750</v>
      </c>
      <c r="AF196" s="13" t="s">
        <v>284</v>
      </c>
      <c r="AG196" s="13" t="s">
        <v>3131</v>
      </c>
      <c r="AH196" s="13" t="s">
        <v>286</v>
      </c>
      <c r="AI196" s="24" t="s">
        <v>287</v>
      </c>
      <c r="AJ196" s="24">
        <v>140</v>
      </c>
      <c r="AK196" s="24" t="s">
        <v>3132</v>
      </c>
      <c r="AL196" s="24" t="s">
        <v>3133</v>
      </c>
      <c r="AM196" s="24" t="s">
        <v>3134</v>
      </c>
      <c r="AN196" s="24">
        <v>39914</v>
      </c>
      <c r="AO196" s="24" t="s">
        <v>3129</v>
      </c>
      <c r="AP196" s="24">
        <v>743756</v>
      </c>
      <c r="AQ196" s="24" t="s">
        <v>2113</v>
      </c>
      <c r="AR196" s="24" t="s">
        <v>291</v>
      </c>
      <c r="AS196" s="24" t="s">
        <v>291</v>
      </c>
      <c r="AT196" s="24"/>
    </row>
    <row r="197" spans="1:46" s="23" customFormat="1" ht="15" customHeight="1">
      <c r="A197" s="11">
        <v>195</v>
      </c>
      <c r="B197" s="12">
        <v>9044</v>
      </c>
      <c r="C197" s="12"/>
      <c r="D197" s="18" t="s">
        <v>3135</v>
      </c>
      <c r="E197" s="13" t="s">
        <v>3136</v>
      </c>
      <c r="F197" s="11" t="s">
        <v>3137</v>
      </c>
      <c r="G197" s="12" t="s">
        <v>3138</v>
      </c>
      <c r="H197" s="24" t="s">
        <v>2859</v>
      </c>
      <c r="I197" s="11" t="s">
        <v>3139</v>
      </c>
      <c r="J197" s="11" t="s">
        <v>3140</v>
      </c>
      <c r="K197" s="24" t="s">
        <v>3141</v>
      </c>
      <c r="L197" s="11" t="s">
        <v>3142</v>
      </c>
      <c r="M197" s="13"/>
      <c r="N197" s="13" t="s">
        <v>3143</v>
      </c>
      <c r="O197" s="13" t="s">
        <v>4</v>
      </c>
      <c r="P197" s="12" t="s">
        <v>3144</v>
      </c>
      <c r="Q197" s="24" t="s">
        <v>3016</v>
      </c>
      <c r="R197" s="12">
        <v>762270</v>
      </c>
      <c r="S197" s="24"/>
      <c r="T197" s="24"/>
      <c r="U197" s="24"/>
      <c r="V197" s="24" t="s">
        <v>283</v>
      </c>
      <c r="W197" s="24"/>
      <c r="X197" s="24"/>
      <c r="Y197" s="24"/>
      <c r="Z197" s="24"/>
      <c r="AA197" s="24"/>
      <c r="AB197" s="13" t="s">
        <v>4</v>
      </c>
      <c r="AC197" s="12" t="s">
        <v>3144</v>
      </c>
      <c r="AD197" s="24" t="s">
        <v>3016</v>
      </c>
      <c r="AE197" s="12">
        <v>762270</v>
      </c>
      <c r="AF197" s="13" t="s">
        <v>284</v>
      </c>
      <c r="AG197" s="13" t="s">
        <v>3145</v>
      </c>
      <c r="AH197" s="13" t="s">
        <v>286</v>
      </c>
      <c r="AI197" s="25" t="s">
        <v>303</v>
      </c>
      <c r="AJ197" s="24">
        <v>48</v>
      </c>
      <c r="AK197" s="24" t="s">
        <v>3146</v>
      </c>
      <c r="AL197" s="24" t="s">
        <v>3147</v>
      </c>
      <c r="AM197" s="24" t="s">
        <v>3148</v>
      </c>
      <c r="AN197" s="24">
        <v>11904</v>
      </c>
      <c r="AO197" s="24" t="s">
        <v>3144</v>
      </c>
      <c r="AP197" s="24">
        <v>762276</v>
      </c>
      <c r="AQ197" s="24" t="s">
        <v>2113</v>
      </c>
      <c r="AR197" s="24" t="s">
        <v>291</v>
      </c>
      <c r="AS197" s="24" t="s">
        <v>291</v>
      </c>
      <c r="AT197" s="24"/>
    </row>
    <row r="198" spans="1:46" s="23" customFormat="1" ht="15" customHeight="1">
      <c r="A198" s="11">
        <v>196</v>
      </c>
      <c r="B198" s="12">
        <v>9275</v>
      </c>
      <c r="C198" s="12" t="s">
        <v>271</v>
      </c>
      <c r="D198" s="18" t="s">
        <v>3149</v>
      </c>
      <c r="E198" s="13" t="s">
        <v>3150</v>
      </c>
      <c r="F198" s="11" t="s">
        <v>3151</v>
      </c>
      <c r="G198" s="12" t="s">
        <v>3152</v>
      </c>
      <c r="H198" s="24" t="s">
        <v>2859</v>
      </c>
      <c r="I198" s="13" t="s">
        <v>3153</v>
      </c>
      <c r="J198" s="13" t="s">
        <v>3154</v>
      </c>
      <c r="K198" s="24" t="s">
        <v>3155</v>
      </c>
      <c r="L198" s="29" t="s">
        <v>3156</v>
      </c>
      <c r="M198" s="13" t="s">
        <v>248</v>
      </c>
      <c r="N198" s="13" t="s">
        <v>3157</v>
      </c>
      <c r="O198" s="13" t="s">
        <v>3</v>
      </c>
      <c r="P198" s="12" t="s">
        <v>3158</v>
      </c>
      <c r="Q198" s="24" t="s">
        <v>3059</v>
      </c>
      <c r="R198" s="12">
        <v>66072</v>
      </c>
      <c r="S198" s="13" t="s">
        <v>3</v>
      </c>
      <c r="T198" s="12" t="s">
        <v>3158</v>
      </c>
      <c r="U198" s="24" t="s">
        <v>3059</v>
      </c>
      <c r="V198" s="12">
        <v>66072</v>
      </c>
      <c r="W198" s="13" t="s">
        <v>544</v>
      </c>
      <c r="X198" s="13" t="s">
        <v>3159</v>
      </c>
      <c r="Y198" s="13" t="s">
        <v>546</v>
      </c>
      <c r="Z198" s="24" t="s">
        <v>547</v>
      </c>
      <c r="AA198" s="24" t="s">
        <v>3160</v>
      </c>
      <c r="AB198" s="24"/>
      <c r="AC198" s="24"/>
      <c r="AD198" s="24"/>
      <c r="AE198" s="24" t="s">
        <v>321</v>
      </c>
      <c r="AF198" s="24"/>
      <c r="AG198" s="24"/>
      <c r="AH198" s="24"/>
      <c r="AI198" s="24"/>
      <c r="AJ198" s="24"/>
      <c r="AK198" s="24" t="s">
        <v>322</v>
      </c>
      <c r="AL198" s="24" t="s">
        <v>3161</v>
      </c>
      <c r="AM198" s="24" t="s">
        <v>3162</v>
      </c>
      <c r="AN198" s="24">
        <v>44176</v>
      </c>
      <c r="AO198" s="24" t="s">
        <v>3163</v>
      </c>
      <c r="AP198" s="24">
        <v>66076</v>
      </c>
      <c r="AQ198" s="24" t="s">
        <v>2399</v>
      </c>
      <c r="AR198" s="24" t="s">
        <v>291</v>
      </c>
      <c r="AS198" s="24" t="s">
        <v>291</v>
      </c>
      <c r="AT198" s="24"/>
    </row>
    <row r="199" spans="1:46" s="23" customFormat="1" ht="15" customHeight="1">
      <c r="A199" s="11">
        <v>197</v>
      </c>
      <c r="B199" s="12">
        <v>12186</v>
      </c>
      <c r="C199" s="12" t="s">
        <v>271</v>
      </c>
      <c r="D199" s="18" t="s">
        <v>158</v>
      </c>
      <c r="E199" s="13" t="s">
        <v>3164</v>
      </c>
      <c r="F199" s="11" t="s">
        <v>3165</v>
      </c>
      <c r="G199" s="12" t="s">
        <v>3166</v>
      </c>
      <c r="H199" s="24" t="s">
        <v>2859</v>
      </c>
      <c r="I199" s="13" t="s">
        <v>3167</v>
      </c>
      <c r="J199" s="13" t="s">
        <v>3168</v>
      </c>
      <c r="K199" s="24" t="s">
        <v>3169</v>
      </c>
      <c r="L199" s="29" t="s">
        <v>3170</v>
      </c>
      <c r="M199" s="13" t="s">
        <v>248</v>
      </c>
      <c r="N199" s="13" t="s">
        <v>3171</v>
      </c>
      <c r="O199" s="13" t="s">
        <v>3</v>
      </c>
      <c r="P199" s="12" t="s">
        <v>3172</v>
      </c>
      <c r="Q199" s="24" t="s">
        <v>3173</v>
      </c>
      <c r="R199" s="12">
        <v>62883</v>
      </c>
      <c r="S199" s="13" t="s">
        <v>3</v>
      </c>
      <c r="T199" s="12" t="s">
        <v>3172</v>
      </c>
      <c r="U199" s="24" t="s">
        <v>3173</v>
      </c>
      <c r="V199" s="12">
        <v>62883</v>
      </c>
      <c r="W199" s="13" t="s">
        <v>544</v>
      </c>
      <c r="X199" s="13" t="s">
        <v>3174</v>
      </c>
      <c r="Y199" s="13" t="s">
        <v>546</v>
      </c>
      <c r="Z199" s="24" t="s">
        <v>547</v>
      </c>
      <c r="AA199" s="24" t="s">
        <v>3175</v>
      </c>
      <c r="AB199" s="24"/>
      <c r="AC199" s="24"/>
      <c r="AD199" s="24"/>
      <c r="AE199" s="24" t="s">
        <v>321</v>
      </c>
      <c r="AF199" s="24"/>
      <c r="AG199" s="24"/>
      <c r="AH199" s="24"/>
      <c r="AI199" s="24"/>
      <c r="AJ199" s="24"/>
      <c r="AK199" s="24" t="s">
        <v>322</v>
      </c>
      <c r="AL199" s="24" t="s">
        <v>3176</v>
      </c>
      <c r="AM199" s="24" t="s">
        <v>3177</v>
      </c>
      <c r="AN199" s="24">
        <v>45700</v>
      </c>
      <c r="AO199" s="24" t="s">
        <v>3178</v>
      </c>
      <c r="AP199" s="24">
        <v>62884</v>
      </c>
      <c r="AQ199" s="24" t="s">
        <v>2399</v>
      </c>
      <c r="AR199" s="24" t="s">
        <v>291</v>
      </c>
      <c r="AS199" s="24" t="s">
        <v>291</v>
      </c>
      <c r="AT199" s="24"/>
    </row>
    <row r="200" spans="1:46" s="23" customFormat="1" ht="15" customHeight="1">
      <c r="A200" s="11">
        <v>198</v>
      </c>
      <c r="B200" s="12">
        <v>9392</v>
      </c>
      <c r="C200" s="12" t="s">
        <v>271</v>
      </c>
      <c r="D200" s="18" t="s">
        <v>155</v>
      </c>
      <c r="E200" s="13" t="s">
        <v>3179</v>
      </c>
      <c r="F200" s="11" t="s">
        <v>3180</v>
      </c>
      <c r="G200" s="12" t="s">
        <v>3181</v>
      </c>
      <c r="H200" s="24" t="s">
        <v>2859</v>
      </c>
      <c r="I200" s="13" t="s">
        <v>3182</v>
      </c>
      <c r="J200" s="13" t="s">
        <v>3183</v>
      </c>
      <c r="K200" s="24" t="s">
        <v>3184</v>
      </c>
      <c r="L200" s="29" t="s">
        <v>3185</v>
      </c>
      <c r="M200" s="13" t="s">
        <v>248</v>
      </c>
      <c r="N200" s="13" t="s">
        <v>3186</v>
      </c>
      <c r="O200" s="13" t="s">
        <v>4</v>
      </c>
      <c r="P200" s="12" t="s">
        <v>3129</v>
      </c>
      <c r="Q200" s="24" t="s">
        <v>2955</v>
      </c>
      <c r="R200" s="12">
        <v>763560</v>
      </c>
      <c r="S200" s="24"/>
      <c r="T200" s="24"/>
      <c r="U200" s="24"/>
      <c r="V200" s="24" t="s">
        <v>283</v>
      </c>
      <c r="W200" s="24"/>
      <c r="X200" s="24"/>
      <c r="Y200" s="24"/>
      <c r="Z200" s="24"/>
      <c r="AA200" s="24"/>
      <c r="AB200" s="13" t="s">
        <v>4</v>
      </c>
      <c r="AC200" s="12" t="s">
        <v>3129</v>
      </c>
      <c r="AD200" s="24" t="s">
        <v>2955</v>
      </c>
      <c r="AE200" s="12">
        <v>763560</v>
      </c>
      <c r="AF200" s="13" t="s">
        <v>284</v>
      </c>
      <c r="AG200" s="13" t="s">
        <v>3187</v>
      </c>
      <c r="AH200" s="13" t="s">
        <v>286</v>
      </c>
      <c r="AI200" s="24" t="s">
        <v>287</v>
      </c>
      <c r="AJ200" s="24">
        <v>138</v>
      </c>
      <c r="AK200" s="24" t="s">
        <v>3188</v>
      </c>
      <c r="AL200" s="24" t="s">
        <v>3189</v>
      </c>
      <c r="AM200" s="24" t="s">
        <v>3190</v>
      </c>
      <c r="AN200" s="24">
        <v>35962</v>
      </c>
      <c r="AO200" s="24" t="s">
        <v>3129</v>
      </c>
      <c r="AP200" s="24">
        <v>763566</v>
      </c>
      <c r="AQ200" s="24" t="s">
        <v>2113</v>
      </c>
      <c r="AR200" s="24" t="s">
        <v>291</v>
      </c>
      <c r="AS200" s="24" t="s">
        <v>291</v>
      </c>
      <c r="AT200" s="24"/>
    </row>
    <row r="201" spans="1:46" s="23" customFormat="1" ht="15" customHeight="1">
      <c r="A201" s="11">
        <v>199</v>
      </c>
      <c r="B201" s="12">
        <v>12773</v>
      </c>
      <c r="C201" s="12" t="s">
        <v>271</v>
      </c>
      <c r="D201" s="18" t="s">
        <v>164</v>
      </c>
      <c r="E201" s="13" t="s">
        <v>3191</v>
      </c>
      <c r="F201" s="11" t="s">
        <v>3192</v>
      </c>
      <c r="G201" s="12" t="s">
        <v>3193</v>
      </c>
      <c r="H201" s="24" t="s">
        <v>2859</v>
      </c>
      <c r="I201" s="13" t="s">
        <v>3194</v>
      </c>
      <c r="J201" s="13" t="s">
        <v>3195</v>
      </c>
      <c r="K201" s="24" t="s">
        <v>3196</v>
      </c>
      <c r="L201" s="13" t="s">
        <v>3197</v>
      </c>
      <c r="M201" s="13"/>
      <c r="N201" s="13" t="s">
        <v>3198</v>
      </c>
      <c r="O201" s="13" t="s">
        <v>3</v>
      </c>
      <c r="P201" s="12" t="s">
        <v>3199</v>
      </c>
      <c r="Q201" s="24" t="s">
        <v>3200</v>
      </c>
      <c r="R201" s="12">
        <v>65605</v>
      </c>
      <c r="S201" s="13" t="s">
        <v>3</v>
      </c>
      <c r="T201" s="12" t="s">
        <v>3199</v>
      </c>
      <c r="U201" s="24" t="s">
        <v>3200</v>
      </c>
      <c r="V201" s="12">
        <v>65605</v>
      </c>
      <c r="W201" s="13" t="s">
        <v>544</v>
      </c>
      <c r="X201" s="13" t="s">
        <v>3201</v>
      </c>
      <c r="Y201" s="13" t="s">
        <v>546</v>
      </c>
      <c r="Z201" s="24" t="s">
        <v>547</v>
      </c>
      <c r="AA201" s="24" t="s">
        <v>3202</v>
      </c>
      <c r="AB201" s="24"/>
      <c r="AC201" s="24"/>
      <c r="AD201" s="24"/>
      <c r="AE201" s="24" t="s">
        <v>321</v>
      </c>
      <c r="AF201" s="24"/>
      <c r="AG201" s="24"/>
      <c r="AH201" s="24"/>
      <c r="AI201" s="24"/>
      <c r="AJ201" s="24"/>
      <c r="AK201" s="24" t="s">
        <v>322</v>
      </c>
      <c r="AL201" s="24" t="s">
        <v>3203</v>
      </c>
      <c r="AM201" s="24" t="s">
        <v>3204</v>
      </c>
      <c r="AN201" s="24">
        <v>45877</v>
      </c>
      <c r="AO201" s="24" t="s">
        <v>3205</v>
      </c>
      <c r="AP201" s="24">
        <v>65617</v>
      </c>
      <c r="AQ201" s="24" t="s">
        <v>2399</v>
      </c>
      <c r="AR201" s="24" t="s">
        <v>291</v>
      </c>
      <c r="AS201" s="24" t="s">
        <v>291</v>
      </c>
      <c r="AT201" s="24"/>
    </row>
    <row r="202" spans="1:46" s="23" customFormat="1" ht="15" customHeight="1">
      <c r="A202" s="11">
        <v>200</v>
      </c>
      <c r="B202" s="12">
        <v>12787</v>
      </c>
      <c r="C202" s="12" t="s">
        <v>271</v>
      </c>
      <c r="D202" s="18" t="s">
        <v>151</v>
      </c>
      <c r="E202" s="13" t="s">
        <v>3206</v>
      </c>
      <c r="F202" s="11" t="s">
        <v>3207</v>
      </c>
      <c r="G202" s="12" t="s">
        <v>3208</v>
      </c>
      <c r="H202" s="24" t="s">
        <v>2859</v>
      </c>
      <c r="I202" s="13" t="s">
        <v>3209</v>
      </c>
      <c r="J202" s="13" t="s">
        <v>3210</v>
      </c>
      <c r="K202" s="24" t="s">
        <v>3211</v>
      </c>
      <c r="L202" s="29" t="s">
        <v>3212</v>
      </c>
      <c r="M202" s="13" t="s">
        <v>248</v>
      </c>
      <c r="N202" s="13" t="s">
        <v>3213</v>
      </c>
      <c r="O202" s="13" t="s">
        <v>4</v>
      </c>
      <c r="P202" s="12" t="s">
        <v>2999</v>
      </c>
      <c r="Q202" s="24" t="s">
        <v>3214</v>
      </c>
      <c r="R202" s="12">
        <v>712000</v>
      </c>
      <c r="S202" s="24"/>
      <c r="T202" s="24"/>
      <c r="U202" s="24"/>
      <c r="V202" s="24" t="s">
        <v>283</v>
      </c>
      <c r="W202" s="24"/>
      <c r="X202" s="24"/>
      <c r="Y202" s="24"/>
      <c r="Z202" s="24"/>
      <c r="AA202" s="24"/>
      <c r="AB202" s="13" t="s">
        <v>4</v>
      </c>
      <c r="AC202" s="12" t="s">
        <v>2999</v>
      </c>
      <c r="AD202" s="24" t="s">
        <v>3214</v>
      </c>
      <c r="AE202" s="12">
        <v>712000</v>
      </c>
      <c r="AF202" s="13" t="s">
        <v>284</v>
      </c>
      <c r="AG202" s="13" t="s">
        <v>3215</v>
      </c>
      <c r="AH202" s="13" t="s">
        <v>286</v>
      </c>
      <c r="AI202" s="24" t="s">
        <v>287</v>
      </c>
      <c r="AJ202" s="24">
        <v>300</v>
      </c>
      <c r="AK202" s="24" t="s">
        <v>3216</v>
      </c>
      <c r="AL202" s="24" t="s">
        <v>3217</v>
      </c>
      <c r="AM202" s="24" t="s">
        <v>3218</v>
      </c>
      <c r="AN202" s="24">
        <v>45908</v>
      </c>
      <c r="AO202" s="24" t="s">
        <v>2999</v>
      </c>
      <c r="AP202" s="24">
        <v>712006</v>
      </c>
      <c r="AQ202" s="24" t="s">
        <v>2113</v>
      </c>
      <c r="AR202" s="24" t="s">
        <v>291</v>
      </c>
      <c r="AS202" s="24" t="s">
        <v>291</v>
      </c>
      <c r="AT202" s="24"/>
    </row>
    <row r="203" spans="1:46" s="23" customFormat="1" ht="15" customHeight="1">
      <c r="A203" s="11">
        <v>201</v>
      </c>
      <c r="B203" s="12">
        <v>618</v>
      </c>
      <c r="C203" s="12" t="s">
        <v>271</v>
      </c>
      <c r="D203" s="18" t="s">
        <v>167</v>
      </c>
      <c r="E203" s="13" t="s">
        <v>3219</v>
      </c>
      <c r="F203" s="11" t="s">
        <v>3220</v>
      </c>
      <c r="G203" s="12" t="s">
        <v>3221</v>
      </c>
      <c r="H203" s="24" t="s">
        <v>3222</v>
      </c>
      <c r="I203" s="13" t="s">
        <v>3223</v>
      </c>
      <c r="J203" s="13" t="s">
        <v>3224</v>
      </c>
      <c r="K203" s="24" t="s">
        <v>3225</v>
      </c>
      <c r="L203" s="29" t="s">
        <v>3226</v>
      </c>
      <c r="M203" s="13" t="s">
        <v>248</v>
      </c>
      <c r="N203" s="13" t="s">
        <v>3227</v>
      </c>
      <c r="O203" s="13" t="s">
        <v>3</v>
      </c>
      <c r="P203" s="12" t="s">
        <v>3228</v>
      </c>
      <c r="Q203" s="24" t="s">
        <v>3229</v>
      </c>
      <c r="R203" s="12">
        <v>69358</v>
      </c>
      <c r="S203" s="13" t="s">
        <v>3</v>
      </c>
      <c r="T203" s="12" t="s">
        <v>3228</v>
      </c>
      <c r="U203" s="24" t="s">
        <v>3229</v>
      </c>
      <c r="V203" s="12">
        <v>69358</v>
      </c>
      <c r="W203" s="13" t="s">
        <v>544</v>
      </c>
      <c r="X203" s="13" t="s">
        <v>3230</v>
      </c>
      <c r="Y203" s="13" t="s">
        <v>546</v>
      </c>
      <c r="Z203" s="24" t="s">
        <v>547</v>
      </c>
      <c r="AA203" s="24" t="s">
        <v>3231</v>
      </c>
      <c r="AB203" s="24"/>
      <c r="AC203" s="24"/>
      <c r="AD203" s="24"/>
      <c r="AE203" s="24" t="s">
        <v>321</v>
      </c>
      <c r="AF203" s="24"/>
      <c r="AG203" s="24"/>
      <c r="AH203" s="24"/>
      <c r="AI203" s="24"/>
      <c r="AJ203" s="24"/>
      <c r="AK203" s="24" t="s">
        <v>322</v>
      </c>
      <c r="AL203" s="24" t="s">
        <v>3232</v>
      </c>
      <c r="AM203" s="24" t="s">
        <v>3233</v>
      </c>
      <c r="AN203" s="24">
        <v>30291</v>
      </c>
      <c r="AO203" s="24" t="s">
        <v>3234</v>
      </c>
      <c r="AP203" s="24">
        <v>69359</v>
      </c>
      <c r="AQ203" s="24" t="s">
        <v>2399</v>
      </c>
      <c r="AR203" s="24" t="s">
        <v>291</v>
      </c>
      <c r="AS203" s="24" t="s">
        <v>291</v>
      </c>
      <c r="AT203" s="24"/>
    </row>
    <row r="204" spans="1:46" s="23" customFormat="1" ht="15" customHeight="1">
      <c r="A204" s="11">
        <v>202</v>
      </c>
      <c r="B204" s="12">
        <v>1611</v>
      </c>
      <c r="C204" s="12" t="s">
        <v>271</v>
      </c>
      <c r="D204" s="18" t="s">
        <v>168</v>
      </c>
      <c r="E204" s="13" t="s">
        <v>3235</v>
      </c>
      <c r="F204" s="11" t="s">
        <v>3236</v>
      </c>
      <c r="G204" s="12" t="s">
        <v>3237</v>
      </c>
      <c r="H204" s="24" t="s">
        <v>3222</v>
      </c>
      <c r="I204" s="13" t="s">
        <v>3238</v>
      </c>
      <c r="J204" s="13" t="s">
        <v>3239</v>
      </c>
      <c r="K204" s="24" t="s">
        <v>3240</v>
      </c>
      <c r="L204" s="29" t="s">
        <v>3241</v>
      </c>
      <c r="M204" s="13" t="s">
        <v>248</v>
      </c>
      <c r="N204" s="13" t="s">
        <v>3242</v>
      </c>
      <c r="O204" s="13" t="s">
        <v>3</v>
      </c>
      <c r="P204" s="12" t="s">
        <v>3243</v>
      </c>
      <c r="Q204" s="24" t="s">
        <v>3244</v>
      </c>
      <c r="R204" s="12">
        <v>69811</v>
      </c>
      <c r="S204" s="13" t="s">
        <v>3</v>
      </c>
      <c r="T204" s="12" t="s">
        <v>3243</v>
      </c>
      <c r="U204" s="24" t="s">
        <v>3244</v>
      </c>
      <c r="V204" s="12">
        <v>69811</v>
      </c>
      <c r="W204" s="13" t="s">
        <v>544</v>
      </c>
      <c r="X204" s="13" t="s">
        <v>3245</v>
      </c>
      <c r="Y204" s="13" t="s">
        <v>546</v>
      </c>
      <c r="Z204" s="24" t="s">
        <v>547</v>
      </c>
      <c r="AA204" s="24" t="s">
        <v>3246</v>
      </c>
      <c r="AB204" s="24"/>
      <c r="AC204" s="24"/>
      <c r="AD204" s="24"/>
      <c r="AE204" s="24" t="s">
        <v>321</v>
      </c>
      <c r="AF204" s="24"/>
      <c r="AG204" s="24"/>
      <c r="AH204" s="24"/>
      <c r="AI204" s="24"/>
      <c r="AJ204" s="24"/>
      <c r="AK204" s="24" t="s">
        <v>322</v>
      </c>
      <c r="AL204" s="24" t="s">
        <v>3247</v>
      </c>
      <c r="AM204" s="24" t="s">
        <v>3248</v>
      </c>
      <c r="AN204" s="24">
        <v>13420</v>
      </c>
      <c r="AO204" s="24" t="s">
        <v>3249</v>
      </c>
      <c r="AP204" s="24">
        <v>69812</v>
      </c>
      <c r="AQ204" s="24" t="s">
        <v>3</v>
      </c>
      <c r="AR204" s="24" t="s">
        <v>291</v>
      </c>
      <c r="AS204" s="24" t="s">
        <v>291</v>
      </c>
      <c r="AT204" s="24"/>
    </row>
    <row r="205" spans="1:46" s="23" customFormat="1" ht="15" customHeight="1">
      <c r="A205" s="11">
        <v>203</v>
      </c>
      <c r="B205" s="12">
        <v>1618</v>
      </c>
      <c r="C205" s="12" t="s">
        <v>271</v>
      </c>
      <c r="D205" s="18" t="s">
        <v>169</v>
      </c>
      <c r="E205" s="13" t="s">
        <v>3250</v>
      </c>
      <c r="F205" s="11" t="s">
        <v>3251</v>
      </c>
      <c r="G205" s="12" t="s">
        <v>3252</v>
      </c>
      <c r="H205" s="24" t="s">
        <v>3222</v>
      </c>
      <c r="I205" s="13" t="s">
        <v>3253</v>
      </c>
      <c r="J205" s="13" t="s">
        <v>3254</v>
      </c>
      <c r="K205" s="24" t="s">
        <v>3255</v>
      </c>
      <c r="L205" s="29" t="s">
        <v>3256</v>
      </c>
      <c r="M205" s="13" t="s">
        <v>248</v>
      </c>
      <c r="N205" s="13" t="s">
        <v>3257</v>
      </c>
      <c r="O205" s="13" t="s">
        <v>3</v>
      </c>
      <c r="P205" s="12" t="s">
        <v>3258</v>
      </c>
      <c r="Q205" s="24" t="s">
        <v>3259</v>
      </c>
      <c r="R205" s="12">
        <v>69617</v>
      </c>
      <c r="S205" s="13" t="s">
        <v>3</v>
      </c>
      <c r="T205" s="12" t="s">
        <v>3258</v>
      </c>
      <c r="U205" s="24" t="s">
        <v>3259</v>
      </c>
      <c r="V205" s="12">
        <v>69617</v>
      </c>
      <c r="W205" s="13" t="s">
        <v>544</v>
      </c>
      <c r="X205" s="13" t="s">
        <v>3260</v>
      </c>
      <c r="Y205" s="13" t="s">
        <v>546</v>
      </c>
      <c r="Z205" s="24" t="s">
        <v>547</v>
      </c>
      <c r="AA205" s="24" t="s">
        <v>3261</v>
      </c>
      <c r="AB205" s="24"/>
      <c r="AC205" s="24"/>
      <c r="AD205" s="24"/>
      <c r="AE205" s="24" t="s">
        <v>321</v>
      </c>
      <c r="AF205" s="24"/>
      <c r="AG205" s="24"/>
      <c r="AH205" s="24"/>
      <c r="AI205" s="24"/>
      <c r="AJ205" s="24"/>
      <c r="AK205" s="24" t="s">
        <v>322</v>
      </c>
      <c r="AL205" s="24" t="s">
        <v>3262</v>
      </c>
      <c r="AM205" s="24" t="s">
        <v>3263</v>
      </c>
      <c r="AN205" s="24">
        <v>43389</v>
      </c>
      <c r="AO205" s="24" t="s">
        <v>3264</v>
      </c>
      <c r="AP205" s="24">
        <v>69619</v>
      </c>
      <c r="AQ205" s="24" t="s">
        <v>3</v>
      </c>
      <c r="AR205" s="24" t="s">
        <v>291</v>
      </c>
      <c r="AS205" s="24" t="s">
        <v>291</v>
      </c>
      <c r="AT205" s="24"/>
    </row>
    <row r="206" spans="1:46" s="23" customFormat="1" ht="15" customHeight="1">
      <c r="A206" s="11">
        <v>204</v>
      </c>
      <c r="B206" s="12">
        <v>9311</v>
      </c>
      <c r="C206" s="12" t="s">
        <v>271</v>
      </c>
      <c r="D206" s="18" t="s">
        <v>170</v>
      </c>
      <c r="E206" s="13" t="s">
        <v>3265</v>
      </c>
      <c r="F206" s="11" t="s">
        <v>3266</v>
      </c>
      <c r="G206" s="12" t="s">
        <v>3267</v>
      </c>
      <c r="H206" s="24" t="s">
        <v>3222</v>
      </c>
      <c r="I206" s="13" t="s">
        <v>3268</v>
      </c>
      <c r="J206" s="13" t="s">
        <v>3269</v>
      </c>
      <c r="K206" s="24" t="s">
        <v>3270</v>
      </c>
      <c r="L206" s="29" t="s">
        <v>3271</v>
      </c>
      <c r="M206" s="13" t="s">
        <v>248</v>
      </c>
      <c r="N206" s="13" t="s">
        <v>3272</v>
      </c>
      <c r="O206" s="13" t="s">
        <v>4</v>
      </c>
      <c r="P206" s="12" t="s">
        <v>3273</v>
      </c>
      <c r="Q206" s="24" t="s">
        <v>3274</v>
      </c>
      <c r="R206" s="12">
        <v>774120</v>
      </c>
      <c r="S206" s="24"/>
      <c r="T206" s="24"/>
      <c r="U206" s="24"/>
      <c r="V206" s="24" t="s">
        <v>283</v>
      </c>
      <c r="W206" s="24"/>
      <c r="X206" s="24"/>
      <c r="Y206" s="24"/>
      <c r="Z206" s="24"/>
      <c r="AA206" s="24"/>
      <c r="AB206" s="13" t="s">
        <v>4</v>
      </c>
      <c r="AC206" s="12" t="s">
        <v>3273</v>
      </c>
      <c r="AD206" s="24" t="s">
        <v>3274</v>
      </c>
      <c r="AE206" s="12">
        <v>774120</v>
      </c>
      <c r="AF206" s="13" t="s">
        <v>284</v>
      </c>
      <c r="AG206" s="13" t="s">
        <v>3275</v>
      </c>
      <c r="AH206" s="13" t="s">
        <v>286</v>
      </c>
      <c r="AI206" s="24" t="s">
        <v>287</v>
      </c>
      <c r="AJ206" s="24">
        <v>91</v>
      </c>
      <c r="AK206" s="24" t="s">
        <v>3276</v>
      </c>
      <c r="AL206" s="24" t="s">
        <v>3277</v>
      </c>
      <c r="AM206" s="24" t="s">
        <v>3278</v>
      </c>
      <c r="AN206" s="24">
        <v>35858</v>
      </c>
      <c r="AO206" s="24" t="s">
        <v>3273</v>
      </c>
      <c r="AP206" s="24">
        <v>774126</v>
      </c>
      <c r="AQ206" s="24" t="s">
        <v>2113</v>
      </c>
      <c r="AR206" s="24" t="s">
        <v>291</v>
      </c>
      <c r="AS206" s="24" t="s">
        <v>291</v>
      </c>
      <c r="AT206" s="24"/>
    </row>
    <row r="207" spans="1:46" s="23" customFormat="1" ht="15" customHeight="1">
      <c r="A207" s="11">
        <v>205</v>
      </c>
      <c r="B207" s="12">
        <v>9313</v>
      </c>
      <c r="C207" s="12" t="s">
        <v>271</v>
      </c>
      <c r="D207" s="18" t="s">
        <v>183</v>
      </c>
      <c r="E207" s="13" t="s">
        <v>3279</v>
      </c>
      <c r="F207" s="11" t="s">
        <v>3280</v>
      </c>
      <c r="G207" s="12" t="s">
        <v>3281</v>
      </c>
      <c r="H207" s="24" t="s">
        <v>3222</v>
      </c>
      <c r="I207" s="13" t="s">
        <v>3282</v>
      </c>
      <c r="J207" s="13" t="s">
        <v>3283</v>
      </c>
      <c r="K207" s="24" t="s">
        <v>3284</v>
      </c>
      <c r="L207" s="29" t="s">
        <v>3285</v>
      </c>
      <c r="M207" s="13" t="s">
        <v>248</v>
      </c>
      <c r="N207" s="13" t="s">
        <v>3286</v>
      </c>
      <c r="O207" s="13" t="s">
        <v>4</v>
      </c>
      <c r="P207" s="12" t="s">
        <v>3273</v>
      </c>
      <c r="Q207" s="24" t="s">
        <v>3287</v>
      </c>
      <c r="R207" s="12">
        <v>775900</v>
      </c>
      <c r="S207" s="24"/>
      <c r="T207" s="24"/>
      <c r="U207" s="24"/>
      <c r="V207" s="24" t="s">
        <v>283</v>
      </c>
      <c r="W207" s="24"/>
      <c r="X207" s="24"/>
      <c r="Y207" s="24"/>
      <c r="Z207" s="24"/>
      <c r="AA207" s="24"/>
      <c r="AB207" s="13" t="s">
        <v>4</v>
      </c>
      <c r="AC207" s="12" t="s">
        <v>3273</v>
      </c>
      <c r="AD207" s="24" t="s">
        <v>3287</v>
      </c>
      <c r="AE207" s="12">
        <v>775900</v>
      </c>
      <c r="AF207" s="13" t="s">
        <v>284</v>
      </c>
      <c r="AG207" s="13" t="s">
        <v>3288</v>
      </c>
      <c r="AH207" s="13" t="s">
        <v>286</v>
      </c>
      <c r="AI207" s="24" t="s">
        <v>287</v>
      </c>
      <c r="AJ207" s="24">
        <v>93</v>
      </c>
      <c r="AK207" s="24" t="s">
        <v>3289</v>
      </c>
      <c r="AL207" s="24" t="s">
        <v>3290</v>
      </c>
      <c r="AM207" s="24" t="s">
        <v>3291</v>
      </c>
      <c r="AN207" s="24">
        <v>35856</v>
      </c>
      <c r="AO207" s="24" t="s">
        <v>3273</v>
      </c>
      <c r="AP207" s="24">
        <v>775906</v>
      </c>
      <c r="AQ207" s="24" t="s">
        <v>2113</v>
      </c>
      <c r="AR207" s="24" t="s">
        <v>291</v>
      </c>
      <c r="AS207" s="24" t="s">
        <v>291</v>
      </c>
      <c r="AT207" s="24"/>
    </row>
    <row r="208" spans="1:46" s="23" customFormat="1" ht="15" customHeight="1">
      <c r="A208" s="11">
        <v>206</v>
      </c>
      <c r="B208" s="12">
        <v>9317</v>
      </c>
      <c r="C208" s="12" t="s">
        <v>271</v>
      </c>
      <c r="D208" s="18" t="s">
        <v>184</v>
      </c>
      <c r="E208" s="13" t="s">
        <v>3292</v>
      </c>
      <c r="F208" s="11" t="s">
        <v>3293</v>
      </c>
      <c r="G208" s="12" t="s">
        <v>3294</v>
      </c>
      <c r="H208" s="24" t="s">
        <v>3222</v>
      </c>
      <c r="I208" s="13" t="s">
        <v>3295</v>
      </c>
      <c r="J208" s="13" t="s">
        <v>3296</v>
      </c>
      <c r="K208" s="24" t="s">
        <v>3297</v>
      </c>
      <c r="L208" s="29" t="s">
        <v>3298</v>
      </c>
      <c r="M208" s="13" t="s">
        <v>248</v>
      </c>
      <c r="N208" s="13" t="s">
        <v>3299</v>
      </c>
      <c r="O208" s="13" t="s">
        <v>3</v>
      </c>
      <c r="P208" s="12" t="s">
        <v>3300</v>
      </c>
      <c r="Q208" s="24" t="s">
        <v>3301</v>
      </c>
      <c r="R208" s="12">
        <v>69392</v>
      </c>
      <c r="S208" s="13" t="s">
        <v>3</v>
      </c>
      <c r="T208" s="12" t="s">
        <v>3300</v>
      </c>
      <c r="U208" s="24" t="s">
        <v>3301</v>
      </c>
      <c r="V208" s="12">
        <v>69392</v>
      </c>
      <c r="W208" s="13" t="s">
        <v>544</v>
      </c>
      <c r="X208" s="13" t="s">
        <v>3302</v>
      </c>
      <c r="Y208" s="13" t="s">
        <v>546</v>
      </c>
      <c r="Z208" s="24" t="s">
        <v>547</v>
      </c>
      <c r="AA208" s="24" t="s">
        <v>3303</v>
      </c>
      <c r="AB208" s="24"/>
      <c r="AC208" s="24"/>
      <c r="AD208" s="24"/>
      <c r="AE208" s="24" t="s">
        <v>321</v>
      </c>
      <c r="AF208" s="24"/>
      <c r="AG208" s="24"/>
      <c r="AH208" s="24"/>
      <c r="AI208" s="24"/>
      <c r="AJ208" s="24"/>
      <c r="AK208" s="24" t="s">
        <v>322</v>
      </c>
      <c r="AL208" s="24" t="s">
        <v>3304</v>
      </c>
      <c r="AM208" s="24" t="s">
        <v>3305</v>
      </c>
      <c r="AN208" s="24">
        <v>42273</v>
      </c>
      <c r="AO208" s="24" t="s">
        <v>3306</v>
      </c>
      <c r="AP208" s="24">
        <v>69393</v>
      </c>
      <c r="AQ208" s="24" t="s">
        <v>3</v>
      </c>
      <c r="AR208" s="24" t="s">
        <v>291</v>
      </c>
      <c r="AS208" s="24" t="s">
        <v>291</v>
      </c>
      <c r="AT208" s="24"/>
    </row>
    <row r="209" spans="1:46" s="23" customFormat="1" ht="15" customHeight="1">
      <c r="A209" s="11">
        <v>207</v>
      </c>
      <c r="B209" s="12">
        <v>9382</v>
      </c>
      <c r="C209" s="12" t="s">
        <v>271</v>
      </c>
      <c r="D209" s="18" t="s">
        <v>182</v>
      </c>
      <c r="E209" s="13" t="s">
        <v>3307</v>
      </c>
      <c r="F209" s="11" t="s">
        <v>3308</v>
      </c>
      <c r="G209" s="12" t="s">
        <v>3309</v>
      </c>
      <c r="H209" s="24" t="s">
        <v>3222</v>
      </c>
      <c r="I209" s="13" t="s">
        <v>3310</v>
      </c>
      <c r="J209" s="13" t="s">
        <v>3311</v>
      </c>
      <c r="K209" s="24" t="s">
        <v>3312</v>
      </c>
      <c r="L209" s="29" t="s">
        <v>3313</v>
      </c>
      <c r="M209" s="13" t="s">
        <v>248</v>
      </c>
      <c r="N209" s="13" t="s">
        <v>3314</v>
      </c>
      <c r="O209" s="13" t="s">
        <v>4</v>
      </c>
      <c r="P209" s="12" t="s">
        <v>2999</v>
      </c>
      <c r="Q209" s="24" t="s">
        <v>3315</v>
      </c>
      <c r="R209" s="12">
        <v>771260</v>
      </c>
      <c r="S209" s="24"/>
      <c r="T209" s="24"/>
      <c r="U209" s="24"/>
      <c r="V209" s="24" t="s">
        <v>283</v>
      </c>
      <c r="W209" s="24"/>
      <c r="X209" s="24"/>
      <c r="Y209" s="24"/>
      <c r="Z209" s="24"/>
      <c r="AA209" s="24"/>
      <c r="AB209" s="13" t="s">
        <v>4</v>
      </c>
      <c r="AC209" s="12" t="s">
        <v>2999</v>
      </c>
      <c r="AD209" s="24" t="s">
        <v>3315</v>
      </c>
      <c r="AE209" s="12">
        <v>771260</v>
      </c>
      <c r="AF209" s="13" t="s">
        <v>284</v>
      </c>
      <c r="AG209" s="13" t="s">
        <v>3316</v>
      </c>
      <c r="AH209" s="13" t="s">
        <v>286</v>
      </c>
      <c r="AI209" s="24" t="s">
        <v>287</v>
      </c>
      <c r="AJ209" s="24">
        <v>270</v>
      </c>
      <c r="AK209" s="24" t="s">
        <v>3317</v>
      </c>
      <c r="AL209" s="24" t="s">
        <v>3318</v>
      </c>
      <c r="AM209" s="24" t="s">
        <v>3319</v>
      </c>
      <c r="AN209" s="24">
        <v>29760</v>
      </c>
      <c r="AO209" s="24" t="s">
        <v>3320</v>
      </c>
      <c r="AP209" s="24">
        <v>771266</v>
      </c>
      <c r="AQ209" s="24" t="s">
        <v>2113</v>
      </c>
      <c r="AR209" s="24" t="s">
        <v>291</v>
      </c>
      <c r="AS209" s="24" t="s">
        <v>291</v>
      </c>
      <c r="AT209" s="24"/>
    </row>
    <row r="210" spans="1:46" s="23" customFormat="1" ht="15" customHeight="1">
      <c r="A210" s="11">
        <v>208</v>
      </c>
      <c r="B210" s="12">
        <v>2720</v>
      </c>
      <c r="C210" s="12" t="s">
        <v>271</v>
      </c>
      <c r="D210" s="18" t="s">
        <v>176</v>
      </c>
      <c r="E210" s="13" t="s">
        <v>3321</v>
      </c>
      <c r="F210" s="11" t="s">
        <v>3322</v>
      </c>
      <c r="G210" s="12" t="s">
        <v>3323</v>
      </c>
      <c r="H210" s="24" t="s">
        <v>3222</v>
      </c>
      <c r="I210" s="13" t="s">
        <v>3324</v>
      </c>
      <c r="J210" s="13" t="s">
        <v>3325</v>
      </c>
      <c r="K210" s="24" t="s">
        <v>3326</v>
      </c>
      <c r="L210" s="29" t="s">
        <v>3327</v>
      </c>
      <c r="M210" s="13" t="s">
        <v>248</v>
      </c>
      <c r="N210" s="13" t="s">
        <v>3328</v>
      </c>
      <c r="O210" s="13" t="s">
        <v>4</v>
      </c>
      <c r="P210" s="12" t="s">
        <v>2999</v>
      </c>
      <c r="Q210" s="24" t="s">
        <v>3329</v>
      </c>
      <c r="R210" s="12">
        <v>779850</v>
      </c>
      <c r="S210" s="24"/>
      <c r="T210" s="24"/>
      <c r="U210" s="24"/>
      <c r="V210" s="24" t="s">
        <v>283</v>
      </c>
      <c r="W210" s="24"/>
      <c r="X210" s="24"/>
      <c r="Y210" s="24"/>
      <c r="Z210" s="24"/>
      <c r="AA210" s="24"/>
      <c r="AB210" s="13" t="s">
        <v>4</v>
      </c>
      <c r="AC210" s="12" t="s">
        <v>2999</v>
      </c>
      <c r="AD210" s="24" t="s">
        <v>3329</v>
      </c>
      <c r="AE210" s="12">
        <v>779850</v>
      </c>
      <c r="AF210" s="13" t="s">
        <v>284</v>
      </c>
      <c r="AG210" s="13" t="s">
        <v>3330</v>
      </c>
      <c r="AH210" s="13" t="s">
        <v>286</v>
      </c>
      <c r="AI210" s="24" t="s">
        <v>287</v>
      </c>
      <c r="AJ210" s="24">
        <v>98</v>
      </c>
      <c r="AK210" s="24" t="s">
        <v>3331</v>
      </c>
      <c r="AL210" s="24" t="s">
        <v>3332</v>
      </c>
      <c r="AM210" s="24" t="s">
        <v>3333</v>
      </c>
      <c r="AN210" s="24">
        <v>33606</v>
      </c>
      <c r="AO210" s="24" t="s">
        <v>2999</v>
      </c>
      <c r="AP210" s="24">
        <v>779856</v>
      </c>
      <c r="AQ210" s="24" t="s">
        <v>2113</v>
      </c>
      <c r="AR210" s="24" t="s">
        <v>291</v>
      </c>
      <c r="AS210" s="24" t="s">
        <v>291</v>
      </c>
      <c r="AT210" s="24"/>
    </row>
    <row r="211" spans="1:46" s="23" customFormat="1" ht="15" customHeight="1">
      <c r="A211" s="11">
        <v>209</v>
      </c>
      <c r="B211" s="12">
        <v>8920</v>
      </c>
      <c r="C211" s="12" t="s">
        <v>271</v>
      </c>
      <c r="D211" s="18" t="s">
        <v>175</v>
      </c>
      <c r="E211" s="13" t="s">
        <v>3334</v>
      </c>
      <c r="F211" s="11" t="s">
        <v>3335</v>
      </c>
      <c r="G211" s="12" t="s">
        <v>3336</v>
      </c>
      <c r="H211" s="24" t="s">
        <v>3222</v>
      </c>
      <c r="I211" s="13" t="s">
        <v>3337</v>
      </c>
      <c r="J211" s="13" t="s">
        <v>3338</v>
      </c>
      <c r="K211" s="24" t="s">
        <v>3339</v>
      </c>
      <c r="L211" s="29" t="s">
        <v>3340</v>
      </c>
      <c r="M211" s="13" t="s">
        <v>248</v>
      </c>
      <c r="N211" s="13" t="s">
        <v>3341</v>
      </c>
      <c r="O211" s="13" t="s">
        <v>4</v>
      </c>
      <c r="P211" s="12" t="s">
        <v>3342</v>
      </c>
      <c r="Q211" s="24" t="s">
        <v>3343</v>
      </c>
      <c r="R211" s="12">
        <v>777270</v>
      </c>
      <c r="S211" s="24"/>
      <c r="T211" s="24"/>
      <c r="U211" s="24"/>
      <c r="V211" s="24" t="s">
        <v>283</v>
      </c>
      <c r="W211" s="24"/>
      <c r="X211" s="24"/>
      <c r="Y211" s="24"/>
      <c r="Z211" s="24"/>
      <c r="AA211" s="24"/>
      <c r="AB211" s="13" t="s">
        <v>4</v>
      </c>
      <c r="AC211" s="12" t="s">
        <v>3342</v>
      </c>
      <c r="AD211" s="24" t="s">
        <v>3343</v>
      </c>
      <c r="AE211" s="12">
        <v>777270</v>
      </c>
      <c r="AF211" s="13" t="s">
        <v>284</v>
      </c>
      <c r="AG211" s="13" t="s">
        <v>3344</v>
      </c>
      <c r="AH211" s="13" t="s">
        <v>286</v>
      </c>
      <c r="AI211" s="24" t="s">
        <v>287</v>
      </c>
      <c r="AJ211" s="24">
        <v>96</v>
      </c>
      <c r="AK211" s="24" t="s">
        <v>3345</v>
      </c>
      <c r="AL211" s="24" t="s">
        <v>3346</v>
      </c>
      <c r="AM211" s="24" t="s">
        <v>3347</v>
      </c>
      <c r="AN211" s="24">
        <v>37960</v>
      </c>
      <c r="AO211" s="25" t="s">
        <v>1180</v>
      </c>
      <c r="AP211" s="24">
        <v>777276</v>
      </c>
      <c r="AQ211" s="24" t="s">
        <v>2113</v>
      </c>
      <c r="AR211" s="24" t="s">
        <v>291</v>
      </c>
      <c r="AS211" s="24" t="s">
        <v>291</v>
      </c>
      <c r="AT211" s="24" t="s">
        <v>3348</v>
      </c>
    </row>
    <row r="212" spans="1:46" s="23" customFormat="1" ht="15" customHeight="1">
      <c r="A212" s="11">
        <v>210</v>
      </c>
      <c r="B212" s="12">
        <v>9306</v>
      </c>
      <c r="C212" s="12" t="s">
        <v>271</v>
      </c>
      <c r="D212" s="18" t="s">
        <v>3349</v>
      </c>
      <c r="E212" s="13" t="s">
        <v>3350</v>
      </c>
      <c r="F212" s="11" t="s">
        <v>3351</v>
      </c>
      <c r="G212" s="12" t="s">
        <v>3352</v>
      </c>
      <c r="H212" s="24" t="s">
        <v>3222</v>
      </c>
      <c r="I212" s="13" t="s">
        <v>3353</v>
      </c>
      <c r="J212" s="13" t="s">
        <v>3354</v>
      </c>
      <c r="K212" s="24" t="s">
        <v>3355</v>
      </c>
      <c r="L212" s="29" t="s">
        <v>3356</v>
      </c>
      <c r="M212" s="13" t="s">
        <v>248</v>
      </c>
      <c r="N212" s="13" t="s">
        <v>3357</v>
      </c>
      <c r="O212" s="13" t="s">
        <v>3</v>
      </c>
      <c r="P212" s="12" t="s">
        <v>3358</v>
      </c>
      <c r="Q212" s="24" t="s">
        <v>3343</v>
      </c>
      <c r="R212" s="12">
        <v>69408</v>
      </c>
      <c r="S212" s="13" t="s">
        <v>3</v>
      </c>
      <c r="T212" s="12" t="s">
        <v>3358</v>
      </c>
      <c r="U212" s="24" t="s">
        <v>3343</v>
      </c>
      <c r="V212" s="12">
        <v>69408</v>
      </c>
      <c r="W212" s="13" t="s">
        <v>544</v>
      </c>
      <c r="X212" s="13" t="s">
        <v>3359</v>
      </c>
      <c r="Y212" s="13" t="s">
        <v>546</v>
      </c>
      <c r="Z212" s="24" t="s">
        <v>547</v>
      </c>
      <c r="AA212" s="24" t="s">
        <v>3360</v>
      </c>
      <c r="AB212" s="24"/>
      <c r="AC212" s="24"/>
      <c r="AD212" s="24"/>
      <c r="AE212" s="24" t="s">
        <v>321</v>
      </c>
      <c r="AF212" s="24"/>
      <c r="AG212" s="24"/>
      <c r="AH212" s="24"/>
      <c r="AI212" s="24"/>
      <c r="AJ212" s="24"/>
      <c r="AK212" s="24" t="s">
        <v>322</v>
      </c>
      <c r="AL212" s="24" t="s">
        <v>3361</v>
      </c>
      <c r="AM212" s="24" t="s">
        <v>3362</v>
      </c>
      <c r="AN212" s="24">
        <v>35679</v>
      </c>
      <c r="AO212" s="24" t="s">
        <v>3363</v>
      </c>
      <c r="AP212" s="24">
        <v>69409</v>
      </c>
      <c r="AQ212" s="24" t="s">
        <v>2399</v>
      </c>
      <c r="AR212" s="24" t="s">
        <v>291</v>
      </c>
      <c r="AS212" s="24" t="s">
        <v>291</v>
      </c>
      <c r="AT212" s="24"/>
    </row>
    <row r="213" spans="1:46" s="23" customFormat="1" ht="15" customHeight="1">
      <c r="A213" s="11">
        <v>211</v>
      </c>
      <c r="B213" s="12">
        <v>3483</v>
      </c>
      <c r="C213" s="12" t="s">
        <v>271</v>
      </c>
      <c r="D213" s="18" t="s">
        <v>178</v>
      </c>
      <c r="E213" s="13" t="s">
        <v>3364</v>
      </c>
      <c r="F213" s="11" t="s">
        <v>3365</v>
      </c>
      <c r="G213" s="12" t="s">
        <v>3366</v>
      </c>
      <c r="H213" s="24" t="s">
        <v>3222</v>
      </c>
      <c r="I213" s="13" t="s">
        <v>3367</v>
      </c>
      <c r="J213" s="13" t="s">
        <v>3368</v>
      </c>
      <c r="K213" s="24" t="s">
        <v>3369</v>
      </c>
      <c r="L213" s="29" t="s">
        <v>3370</v>
      </c>
      <c r="M213" s="13" t="s">
        <v>248</v>
      </c>
      <c r="N213" s="13" t="s">
        <v>3371</v>
      </c>
      <c r="O213" s="13" t="s">
        <v>3</v>
      </c>
      <c r="P213" s="12" t="s">
        <v>3372</v>
      </c>
      <c r="Q213" s="24" t="s">
        <v>3373</v>
      </c>
      <c r="R213" s="12">
        <v>69885</v>
      </c>
      <c r="S213" s="13" t="s">
        <v>3</v>
      </c>
      <c r="T213" s="12" t="s">
        <v>3372</v>
      </c>
      <c r="U213" s="24" t="s">
        <v>3373</v>
      </c>
      <c r="V213" s="12">
        <v>69885</v>
      </c>
      <c r="W213" s="13" t="s">
        <v>544</v>
      </c>
      <c r="X213" s="13" t="s">
        <v>3374</v>
      </c>
      <c r="Y213" s="13" t="s">
        <v>546</v>
      </c>
      <c r="Z213" s="24" t="s">
        <v>547</v>
      </c>
      <c r="AA213" s="24" t="s">
        <v>3375</v>
      </c>
      <c r="AB213" s="24"/>
      <c r="AC213" s="24"/>
      <c r="AD213" s="24"/>
      <c r="AE213" s="24" t="s">
        <v>321</v>
      </c>
      <c r="AF213" s="24"/>
      <c r="AG213" s="24"/>
      <c r="AH213" s="24"/>
      <c r="AI213" s="24"/>
      <c r="AJ213" s="24"/>
      <c r="AK213" s="24" t="s">
        <v>322</v>
      </c>
      <c r="AL213" s="24" t="s">
        <v>3376</v>
      </c>
      <c r="AM213" s="24" t="s">
        <v>3377</v>
      </c>
      <c r="AN213" s="24">
        <v>41416</v>
      </c>
      <c r="AO213" s="24" t="s">
        <v>3378</v>
      </c>
      <c r="AP213" s="24">
        <v>69886</v>
      </c>
      <c r="AQ213" s="24" t="s">
        <v>3</v>
      </c>
      <c r="AR213" s="24" t="s">
        <v>291</v>
      </c>
      <c r="AS213" s="24" t="s">
        <v>291</v>
      </c>
      <c r="AT213" s="24"/>
    </row>
    <row r="214" spans="1:46" s="23" customFormat="1" ht="15" customHeight="1">
      <c r="A214" s="11">
        <v>212</v>
      </c>
      <c r="B214" s="12">
        <v>9320</v>
      </c>
      <c r="C214" s="12" t="s">
        <v>271</v>
      </c>
      <c r="D214" s="18" t="s">
        <v>179</v>
      </c>
      <c r="E214" s="13" t="s">
        <v>3379</v>
      </c>
      <c r="F214" s="11" t="s">
        <v>3380</v>
      </c>
      <c r="G214" s="12" t="s">
        <v>3381</v>
      </c>
      <c r="H214" s="24" t="s">
        <v>3222</v>
      </c>
      <c r="I214" s="13" t="s">
        <v>3382</v>
      </c>
      <c r="J214" s="13" t="s">
        <v>3383</v>
      </c>
      <c r="K214" s="24" t="s">
        <v>3384</v>
      </c>
      <c r="L214" s="29" t="s">
        <v>3385</v>
      </c>
      <c r="M214" s="13" t="s">
        <v>248</v>
      </c>
      <c r="N214" s="13" t="s">
        <v>3386</v>
      </c>
      <c r="O214" s="13" t="s">
        <v>4</v>
      </c>
      <c r="P214" s="12" t="s">
        <v>3387</v>
      </c>
      <c r="Q214" s="24" t="s">
        <v>3388</v>
      </c>
      <c r="R214" s="12">
        <v>775310</v>
      </c>
      <c r="S214" s="24"/>
      <c r="T214" s="24"/>
      <c r="U214" s="24"/>
      <c r="V214" s="24" t="s">
        <v>283</v>
      </c>
      <c r="W214" s="24"/>
      <c r="X214" s="24"/>
      <c r="Y214" s="24"/>
      <c r="Z214" s="24"/>
      <c r="AA214" s="24"/>
      <c r="AB214" s="13" t="s">
        <v>4</v>
      </c>
      <c r="AC214" s="12" t="s">
        <v>3387</v>
      </c>
      <c r="AD214" s="24" t="s">
        <v>3388</v>
      </c>
      <c r="AE214" s="12">
        <v>775310</v>
      </c>
      <c r="AF214" s="13" t="s">
        <v>284</v>
      </c>
      <c r="AG214" s="13" t="s">
        <v>3389</v>
      </c>
      <c r="AH214" s="13" t="s">
        <v>286</v>
      </c>
      <c r="AI214" s="24" t="s">
        <v>287</v>
      </c>
      <c r="AJ214" s="24">
        <v>118</v>
      </c>
      <c r="AK214" s="24" t="s">
        <v>3390</v>
      </c>
      <c r="AL214" s="24" t="s">
        <v>3391</v>
      </c>
      <c r="AM214" s="24" t="s">
        <v>3392</v>
      </c>
      <c r="AN214" s="24">
        <v>41145</v>
      </c>
      <c r="AO214" s="24" t="s">
        <v>3387</v>
      </c>
      <c r="AP214" s="24">
        <v>775316</v>
      </c>
      <c r="AQ214" s="24" t="s">
        <v>2113</v>
      </c>
      <c r="AR214" s="24" t="s">
        <v>291</v>
      </c>
      <c r="AS214" s="24" t="s">
        <v>291</v>
      </c>
      <c r="AT214" s="24"/>
    </row>
    <row r="215" spans="1:46" s="23" customFormat="1" ht="15" customHeight="1">
      <c r="A215" s="11">
        <v>213</v>
      </c>
      <c r="B215" s="12">
        <v>9352</v>
      </c>
      <c r="C215" s="12" t="s">
        <v>271</v>
      </c>
      <c r="D215" s="18" t="s">
        <v>177</v>
      </c>
      <c r="E215" s="13" t="s">
        <v>3393</v>
      </c>
      <c r="F215" s="11" t="s">
        <v>3394</v>
      </c>
      <c r="G215" s="12" t="s">
        <v>3395</v>
      </c>
      <c r="H215" s="24" t="s">
        <v>3222</v>
      </c>
      <c r="I215" s="13" t="s">
        <v>3396</v>
      </c>
      <c r="J215" s="13" t="s">
        <v>3397</v>
      </c>
      <c r="K215" s="24" t="s">
        <v>3398</v>
      </c>
      <c r="L215" s="29" t="s">
        <v>3399</v>
      </c>
      <c r="M215" s="13" t="s">
        <v>248</v>
      </c>
      <c r="N215" s="13" t="s">
        <v>3400</v>
      </c>
      <c r="O215" s="13" t="s">
        <v>4</v>
      </c>
      <c r="P215" s="12" t="s">
        <v>3387</v>
      </c>
      <c r="Q215" s="24" t="s">
        <v>3401</v>
      </c>
      <c r="R215" s="12">
        <v>777520</v>
      </c>
      <c r="S215" s="24"/>
      <c r="T215" s="24"/>
      <c r="U215" s="24"/>
      <c r="V215" s="24" t="s">
        <v>283</v>
      </c>
      <c r="W215" s="24"/>
      <c r="X215" s="24"/>
      <c r="Y215" s="24"/>
      <c r="Z215" s="24"/>
      <c r="AA215" s="24"/>
      <c r="AB215" s="13" t="s">
        <v>4</v>
      </c>
      <c r="AC215" s="12" t="s">
        <v>3387</v>
      </c>
      <c r="AD215" s="24" t="s">
        <v>3401</v>
      </c>
      <c r="AE215" s="12">
        <v>777520</v>
      </c>
      <c r="AF215" s="13" t="s">
        <v>284</v>
      </c>
      <c r="AG215" s="13" t="s">
        <v>3402</v>
      </c>
      <c r="AH215" s="13" t="s">
        <v>286</v>
      </c>
      <c r="AI215" s="24" t="s">
        <v>287</v>
      </c>
      <c r="AJ215" s="24">
        <v>167</v>
      </c>
      <c r="AK215" s="24" t="s">
        <v>3403</v>
      </c>
      <c r="AL215" s="24" t="s">
        <v>3404</v>
      </c>
      <c r="AM215" s="24" t="s">
        <v>3405</v>
      </c>
      <c r="AN215" s="24">
        <v>42278</v>
      </c>
      <c r="AO215" s="24" t="s">
        <v>3387</v>
      </c>
      <c r="AP215" s="24">
        <v>777526</v>
      </c>
      <c r="AQ215" s="24" t="s">
        <v>2113</v>
      </c>
      <c r="AR215" s="24" t="s">
        <v>291</v>
      </c>
      <c r="AS215" s="24" t="s">
        <v>291</v>
      </c>
      <c r="AT215" s="24"/>
    </row>
    <row r="216" spans="1:46" s="23" customFormat="1" ht="15" customHeight="1">
      <c r="A216" s="11">
        <v>214</v>
      </c>
      <c r="B216" s="12">
        <v>5545</v>
      </c>
      <c r="C216" s="12" t="s">
        <v>271</v>
      </c>
      <c r="D216" s="18" t="s">
        <v>185</v>
      </c>
      <c r="E216" s="13" t="s">
        <v>3406</v>
      </c>
      <c r="F216" s="11" t="s">
        <v>3407</v>
      </c>
      <c r="G216" s="12" t="s">
        <v>3408</v>
      </c>
      <c r="H216" s="24" t="s">
        <v>3222</v>
      </c>
      <c r="I216" s="13" t="s">
        <v>3409</v>
      </c>
      <c r="J216" s="13" t="s">
        <v>3410</v>
      </c>
      <c r="K216" s="24" t="s">
        <v>3411</v>
      </c>
      <c r="L216" s="13" t="s">
        <v>3412</v>
      </c>
      <c r="M216" s="13"/>
      <c r="N216" s="13" t="s">
        <v>3413</v>
      </c>
      <c r="O216" s="13" t="s">
        <v>4</v>
      </c>
      <c r="P216" s="12" t="s">
        <v>3414</v>
      </c>
      <c r="Q216" s="24" t="s">
        <v>3415</v>
      </c>
      <c r="R216" s="12">
        <v>811660</v>
      </c>
      <c r="S216" s="24"/>
      <c r="T216" s="24"/>
      <c r="U216" s="24"/>
      <c r="V216" s="24" t="s">
        <v>283</v>
      </c>
      <c r="W216" s="24"/>
      <c r="X216" s="24"/>
      <c r="Y216" s="24"/>
      <c r="Z216" s="24"/>
      <c r="AA216" s="24"/>
      <c r="AB216" s="13" t="s">
        <v>4</v>
      </c>
      <c r="AC216" s="12" t="s">
        <v>3414</v>
      </c>
      <c r="AD216" s="24" t="s">
        <v>3415</v>
      </c>
      <c r="AE216" s="12">
        <v>811660</v>
      </c>
      <c r="AF216" s="13" t="s">
        <v>284</v>
      </c>
      <c r="AG216" s="13" t="s">
        <v>3416</v>
      </c>
      <c r="AH216" s="13" t="s">
        <v>286</v>
      </c>
      <c r="AI216" s="24" t="s">
        <v>287</v>
      </c>
      <c r="AJ216" s="24">
        <v>277</v>
      </c>
      <c r="AK216" s="24" t="s">
        <v>3417</v>
      </c>
      <c r="AL216" s="24" t="s">
        <v>3418</v>
      </c>
      <c r="AM216" s="24" t="s">
        <v>3419</v>
      </c>
      <c r="AN216" s="24">
        <v>44678</v>
      </c>
      <c r="AO216" s="24" t="s">
        <v>3414</v>
      </c>
      <c r="AP216" s="24">
        <v>811666</v>
      </c>
      <c r="AQ216" s="24" t="s">
        <v>2113</v>
      </c>
      <c r="AR216" s="24" t="s">
        <v>291</v>
      </c>
      <c r="AS216" s="24" t="s">
        <v>291</v>
      </c>
      <c r="AT216" s="24"/>
    </row>
    <row r="217" spans="1:46" s="23" customFormat="1" ht="15" customHeight="1">
      <c r="A217" s="11">
        <v>215</v>
      </c>
      <c r="B217" s="12">
        <v>5760</v>
      </c>
      <c r="C217" s="12" t="s">
        <v>271</v>
      </c>
      <c r="D217" s="18" t="s">
        <v>187</v>
      </c>
      <c r="E217" s="13" t="s">
        <v>3420</v>
      </c>
      <c r="F217" s="11" t="s">
        <v>3421</v>
      </c>
      <c r="G217" s="12" t="s">
        <v>3422</v>
      </c>
      <c r="H217" s="24" t="s">
        <v>3222</v>
      </c>
      <c r="I217" s="13" t="s">
        <v>3423</v>
      </c>
      <c r="J217" s="13" t="s">
        <v>3424</v>
      </c>
      <c r="K217" s="24" t="s">
        <v>3425</v>
      </c>
      <c r="L217" s="29" t="s">
        <v>3426</v>
      </c>
      <c r="M217" s="13" t="s">
        <v>248</v>
      </c>
      <c r="N217" s="13" t="s">
        <v>3427</v>
      </c>
      <c r="O217" s="13" t="s">
        <v>3</v>
      </c>
      <c r="P217" s="12" t="s">
        <v>3428</v>
      </c>
      <c r="Q217" s="24" t="s">
        <v>3429</v>
      </c>
      <c r="R217" s="12">
        <v>76153</v>
      </c>
      <c r="S217" s="13" t="s">
        <v>3</v>
      </c>
      <c r="T217" s="12" t="s">
        <v>3428</v>
      </c>
      <c r="U217" s="24" t="s">
        <v>3429</v>
      </c>
      <c r="V217" s="12">
        <v>76153</v>
      </c>
      <c r="W217" s="13" t="s">
        <v>3430</v>
      </c>
      <c r="X217" s="13" t="s">
        <v>3431</v>
      </c>
      <c r="Y217" s="13" t="s">
        <v>3432</v>
      </c>
      <c r="Z217" s="24" t="s">
        <v>3433</v>
      </c>
      <c r="AA217" s="24" t="s">
        <v>3434</v>
      </c>
      <c r="AB217" s="24"/>
      <c r="AC217" s="24"/>
      <c r="AD217" s="24"/>
      <c r="AE217" s="24" t="s">
        <v>321</v>
      </c>
      <c r="AF217" s="24"/>
      <c r="AG217" s="24"/>
      <c r="AH217" s="24"/>
      <c r="AI217" s="24"/>
      <c r="AJ217" s="24"/>
      <c r="AK217" s="24" t="s">
        <v>322</v>
      </c>
      <c r="AL217" s="24" t="s">
        <v>3435</v>
      </c>
      <c r="AM217" s="24" t="s">
        <v>3436</v>
      </c>
      <c r="AN217" s="24">
        <v>41230</v>
      </c>
      <c r="AO217" s="24" t="s">
        <v>3437</v>
      </c>
      <c r="AP217" s="24">
        <v>76154</v>
      </c>
      <c r="AQ217" s="24" t="s">
        <v>2399</v>
      </c>
      <c r="AR217" s="24" t="s">
        <v>291</v>
      </c>
      <c r="AS217" s="24" t="s">
        <v>291</v>
      </c>
      <c r="AT217" s="24"/>
    </row>
    <row r="218" spans="1:46" s="23" customFormat="1" ht="15" customHeight="1">
      <c r="A218" s="11">
        <v>216</v>
      </c>
      <c r="B218" s="12">
        <v>12789</v>
      </c>
      <c r="C218" s="12" t="s">
        <v>271</v>
      </c>
      <c r="D218" s="18" t="s">
        <v>188</v>
      </c>
      <c r="E218" s="13" t="s">
        <v>3438</v>
      </c>
      <c r="F218" s="11" t="s">
        <v>3439</v>
      </c>
      <c r="G218" s="12" t="s">
        <v>3440</v>
      </c>
      <c r="H218" s="24" t="s">
        <v>3222</v>
      </c>
      <c r="I218" s="13" t="s">
        <v>3441</v>
      </c>
      <c r="J218" s="13" t="s">
        <v>3442</v>
      </c>
      <c r="K218" s="24" t="s">
        <v>3443</v>
      </c>
      <c r="L218" s="29" t="s">
        <v>3444</v>
      </c>
      <c r="M218" s="13" t="s">
        <v>248</v>
      </c>
      <c r="N218" s="13" t="s">
        <v>3445</v>
      </c>
      <c r="O218" s="13" t="s">
        <v>4</v>
      </c>
      <c r="P218" s="12" t="s">
        <v>3446</v>
      </c>
      <c r="Q218" s="24" t="s">
        <v>3447</v>
      </c>
      <c r="R218" s="12">
        <v>861230</v>
      </c>
      <c r="S218" s="24"/>
      <c r="T218" s="24"/>
      <c r="U218" s="24"/>
      <c r="V218" s="24" t="s">
        <v>283</v>
      </c>
      <c r="W218" s="24"/>
      <c r="X218" s="24"/>
      <c r="Y218" s="24"/>
      <c r="Z218" s="24"/>
      <c r="AA218" s="24"/>
      <c r="AB218" s="13" t="s">
        <v>4</v>
      </c>
      <c r="AC218" s="12" t="s">
        <v>3446</v>
      </c>
      <c r="AD218" s="24" t="s">
        <v>3447</v>
      </c>
      <c r="AE218" s="12">
        <v>861230</v>
      </c>
      <c r="AF218" s="13" t="s">
        <v>284</v>
      </c>
      <c r="AG218" s="13" t="s">
        <v>3448</v>
      </c>
      <c r="AH218" s="13" t="s">
        <v>286</v>
      </c>
      <c r="AI218" s="24" t="s">
        <v>287</v>
      </c>
      <c r="AJ218" s="24">
        <v>301</v>
      </c>
      <c r="AK218" s="24" t="s">
        <v>3449</v>
      </c>
      <c r="AL218" s="24" t="s">
        <v>3450</v>
      </c>
      <c r="AM218" s="24" t="s">
        <v>3451</v>
      </c>
      <c r="AN218" s="24">
        <v>45909</v>
      </c>
      <c r="AO218" s="24" t="s">
        <v>3446</v>
      </c>
      <c r="AP218" s="24">
        <v>861236</v>
      </c>
      <c r="AQ218" s="24" t="s">
        <v>2113</v>
      </c>
      <c r="AR218" s="24" t="s">
        <v>291</v>
      </c>
      <c r="AS218" s="24" t="s">
        <v>291</v>
      </c>
      <c r="AT218" s="24"/>
    </row>
    <row r="219" spans="1:46" s="23" customFormat="1" ht="15" customHeight="1">
      <c r="A219" s="11">
        <v>217</v>
      </c>
      <c r="B219" s="12">
        <v>8767</v>
      </c>
      <c r="C219" s="12" t="s">
        <v>271</v>
      </c>
      <c r="D219" s="18" t="s">
        <v>171</v>
      </c>
      <c r="E219" s="13" t="s">
        <v>3452</v>
      </c>
      <c r="F219" s="11" t="s">
        <v>3453</v>
      </c>
      <c r="G219" s="12" t="s">
        <v>3454</v>
      </c>
      <c r="H219" s="24" t="s">
        <v>3222</v>
      </c>
      <c r="I219" s="13" t="s">
        <v>3455</v>
      </c>
      <c r="J219" s="13" t="s">
        <v>3456</v>
      </c>
      <c r="K219" s="24" t="s">
        <v>3457</v>
      </c>
      <c r="L219" s="13" t="s">
        <v>3458</v>
      </c>
      <c r="M219" s="13"/>
      <c r="N219" s="13" t="s">
        <v>3459</v>
      </c>
      <c r="O219" s="13" t="s">
        <v>3</v>
      </c>
      <c r="P219" s="12" t="s">
        <v>3460</v>
      </c>
      <c r="Q219" s="24" t="s">
        <v>2897</v>
      </c>
      <c r="R219" s="12">
        <v>69714</v>
      </c>
      <c r="S219" s="13" t="s">
        <v>3</v>
      </c>
      <c r="T219" s="12" t="s">
        <v>3460</v>
      </c>
      <c r="U219" s="24" t="s">
        <v>2897</v>
      </c>
      <c r="V219" s="12">
        <v>69714</v>
      </c>
      <c r="W219" s="13" t="s">
        <v>544</v>
      </c>
      <c r="X219" s="13" t="s">
        <v>1856</v>
      </c>
      <c r="Y219" s="13" t="s">
        <v>546</v>
      </c>
      <c r="Z219" s="24" t="s">
        <v>547</v>
      </c>
      <c r="AA219" s="24" t="s">
        <v>1857</v>
      </c>
      <c r="AB219" s="24"/>
      <c r="AC219" s="24"/>
      <c r="AD219" s="24"/>
      <c r="AE219" s="24" t="s">
        <v>321</v>
      </c>
      <c r="AF219" s="24"/>
      <c r="AG219" s="24"/>
      <c r="AH219" s="24"/>
      <c r="AI219" s="24"/>
      <c r="AJ219" s="24"/>
      <c r="AK219" s="24" t="s">
        <v>322</v>
      </c>
      <c r="AL219" s="24" t="s">
        <v>3461</v>
      </c>
      <c r="AM219" s="24" t="s">
        <v>3462</v>
      </c>
      <c r="AN219" s="24">
        <v>43225</v>
      </c>
      <c r="AO219" s="24" t="s">
        <v>3463</v>
      </c>
      <c r="AP219" s="24">
        <v>69716</v>
      </c>
      <c r="AQ219" s="24" t="s">
        <v>2399</v>
      </c>
      <c r="AR219" s="24" t="s">
        <v>291</v>
      </c>
      <c r="AS219" s="24" t="s">
        <v>291</v>
      </c>
      <c r="AT219" s="24"/>
    </row>
    <row r="220" spans="1:46" s="23" customFormat="1" ht="15" customHeight="1">
      <c r="A220" s="16">
        <v>218</v>
      </c>
      <c r="B220" s="14">
        <v>15624</v>
      </c>
      <c r="C220" s="14" t="s">
        <v>271</v>
      </c>
      <c r="D220" s="17" t="s">
        <v>215</v>
      </c>
      <c r="E220" s="15" t="s">
        <v>3464</v>
      </c>
      <c r="F220" s="16" t="s">
        <v>3465</v>
      </c>
      <c r="G220" s="14" t="s">
        <v>3466</v>
      </c>
      <c r="H220" s="25" t="s">
        <v>3222</v>
      </c>
      <c r="I220" s="15" t="s">
        <v>3467</v>
      </c>
      <c r="J220" s="15" t="s">
        <v>3468</v>
      </c>
      <c r="K220" s="25" t="s">
        <v>3469</v>
      </c>
      <c r="L220" s="15"/>
      <c r="M220" s="15"/>
      <c r="N220" s="15" t="s">
        <v>3470</v>
      </c>
      <c r="O220" s="15" t="s">
        <v>3</v>
      </c>
      <c r="P220" s="14" t="s">
        <v>3471</v>
      </c>
      <c r="Q220" s="25" t="s">
        <v>3472</v>
      </c>
      <c r="R220" s="14">
        <v>71389</v>
      </c>
      <c r="S220" s="15" t="s">
        <v>3</v>
      </c>
      <c r="T220" s="14" t="s">
        <v>3471</v>
      </c>
      <c r="U220" s="25" t="s">
        <v>3472</v>
      </c>
      <c r="V220" s="14">
        <v>71389</v>
      </c>
      <c r="W220" s="15" t="s">
        <v>3473</v>
      </c>
      <c r="X220" s="15" t="s">
        <v>3474</v>
      </c>
      <c r="Y220" s="15" t="s">
        <v>3475</v>
      </c>
      <c r="Z220" s="25" t="s">
        <v>3476</v>
      </c>
      <c r="AA220" s="25" t="s">
        <v>3477</v>
      </c>
      <c r="AB220" s="25"/>
      <c r="AC220" s="25"/>
      <c r="AD220" s="25"/>
      <c r="AE220" s="25" t="s">
        <v>321</v>
      </c>
      <c r="AF220" s="25"/>
      <c r="AG220" s="25"/>
      <c r="AH220" s="25"/>
      <c r="AI220" s="25"/>
      <c r="AJ220" s="25"/>
      <c r="AK220" s="25" t="s">
        <v>322</v>
      </c>
      <c r="AL220" s="25" t="s">
        <v>3478</v>
      </c>
      <c r="AM220" s="25" t="s">
        <v>3479</v>
      </c>
      <c r="AN220" s="25">
        <v>47362</v>
      </c>
      <c r="AO220" s="25" t="s">
        <v>3480</v>
      </c>
      <c r="AP220" s="25">
        <v>71391</v>
      </c>
      <c r="AQ220" s="26"/>
      <c r="AR220" s="24" t="s">
        <v>291</v>
      </c>
      <c r="AS220" s="24" t="s">
        <v>291</v>
      </c>
      <c r="AT220" s="24"/>
    </row>
    <row r="221" spans="1:46" s="23" customFormat="1" ht="15" customHeight="1">
      <c r="A221" s="11">
        <v>219</v>
      </c>
      <c r="B221" s="12">
        <v>8926</v>
      </c>
      <c r="C221" s="12" t="s">
        <v>271</v>
      </c>
      <c r="D221" s="18" t="s">
        <v>186</v>
      </c>
      <c r="E221" s="13" t="s">
        <v>3481</v>
      </c>
      <c r="F221" s="11" t="s">
        <v>3482</v>
      </c>
      <c r="G221" s="12" t="s">
        <v>3483</v>
      </c>
      <c r="H221" s="24" t="s">
        <v>3222</v>
      </c>
      <c r="I221" s="13" t="s">
        <v>3484</v>
      </c>
      <c r="J221" s="13" t="s">
        <v>3485</v>
      </c>
      <c r="K221" s="24" t="s">
        <v>3486</v>
      </c>
      <c r="L221" s="29" t="s">
        <v>3487</v>
      </c>
      <c r="M221" s="13" t="s">
        <v>248</v>
      </c>
      <c r="N221" s="13" t="s">
        <v>3488</v>
      </c>
      <c r="O221" s="13" t="s">
        <v>3</v>
      </c>
      <c r="P221" s="12" t="s">
        <v>3489</v>
      </c>
      <c r="Q221" s="24" t="s">
        <v>3472</v>
      </c>
      <c r="R221" s="12">
        <v>71175</v>
      </c>
      <c r="S221" s="13" t="s">
        <v>3</v>
      </c>
      <c r="T221" s="12" t="s">
        <v>3489</v>
      </c>
      <c r="U221" s="24" t="s">
        <v>3472</v>
      </c>
      <c r="V221" s="12">
        <v>71175</v>
      </c>
      <c r="W221" s="13" t="s">
        <v>3473</v>
      </c>
      <c r="X221" s="13" t="s">
        <v>3474</v>
      </c>
      <c r="Y221" s="13" t="s">
        <v>3475</v>
      </c>
      <c r="Z221" s="24" t="s">
        <v>3476</v>
      </c>
      <c r="AA221" s="24" t="s">
        <v>3477</v>
      </c>
      <c r="AB221" s="24"/>
      <c r="AC221" s="24"/>
      <c r="AD221" s="24"/>
      <c r="AE221" s="24" t="s">
        <v>321</v>
      </c>
      <c r="AF221" s="24"/>
      <c r="AG221" s="24"/>
      <c r="AH221" s="24"/>
      <c r="AI221" s="24"/>
      <c r="AJ221" s="24"/>
      <c r="AK221" s="24" t="s">
        <v>322</v>
      </c>
      <c r="AL221" s="24" t="s">
        <v>3490</v>
      </c>
      <c r="AM221" s="24" t="s">
        <v>3491</v>
      </c>
      <c r="AN221" s="24">
        <v>37368</v>
      </c>
      <c r="AO221" s="24" t="s">
        <v>3492</v>
      </c>
      <c r="AP221" s="24">
        <v>71176</v>
      </c>
      <c r="AQ221" s="24" t="s">
        <v>3</v>
      </c>
      <c r="AR221" s="24" t="s">
        <v>291</v>
      </c>
      <c r="AS221" s="24" t="s">
        <v>291</v>
      </c>
      <c r="AT221" s="24"/>
    </row>
    <row r="222" spans="1:46" s="23" customFormat="1" ht="15" customHeight="1">
      <c r="A222" s="11">
        <v>220</v>
      </c>
      <c r="B222" s="12">
        <v>8955</v>
      </c>
      <c r="C222" s="12" t="s">
        <v>271</v>
      </c>
      <c r="D222" s="18" t="s">
        <v>174</v>
      </c>
      <c r="E222" s="13" t="s">
        <v>3493</v>
      </c>
      <c r="F222" s="11" t="s">
        <v>3494</v>
      </c>
      <c r="G222" s="12" t="s">
        <v>3495</v>
      </c>
      <c r="H222" s="24" t="s">
        <v>3222</v>
      </c>
      <c r="I222" s="13" t="s">
        <v>3496</v>
      </c>
      <c r="J222" s="13" t="s">
        <v>3497</v>
      </c>
      <c r="K222" s="24" t="s">
        <v>3498</v>
      </c>
      <c r="L222" s="29" t="s">
        <v>3499</v>
      </c>
      <c r="M222" s="13" t="s">
        <v>248</v>
      </c>
      <c r="N222" s="13" t="s">
        <v>3500</v>
      </c>
      <c r="O222" s="13" t="s">
        <v>3</v>
      </c>
      <c r="P222" s="12" t="s">
        <v>3501</v>
      </c>
      <c r="Q222" s="24" t="s">
        <v>3502</v>
      </c>
      <c r="R222" s="12">
        <v>69802</v>
      </c>
      <c r="S222" s="13" t="s">
        <v>3</v>
      </c>
      <c r="T222" s="12" t="s">
        <v>3501</v>
      </c>
      <c r="U222" s="24" t="s">
        <v>3502</v>
      </c>
      <c r="V222" s="12">
        <v>69802</v>
      </c>
      <c r="W222" s="13" t="s">
        <v>544</v>
      </c>
      <c r="X222" s="13" t="s">
        <v>3503</v>
      </c>
      <c r="Y222" s="13" t="s">
        <v>546</v>
      </c>
      <c r="Z222" s="24" t="s">
        <v>547</v>
      </c>
      <c r="AA222" s="24" t="s">
        <v>3504</v>
      </c>
      <c r="AB222" s="24"/>
      <c r="AC222" s="24"/>
      <c r="AD222" s="24"/>
      <c r="AE222" s="24" t="s">
        <v>321</v>
      </c>
      <c r="AF222" s="24"/>
      <c r="AG222" s="24"/>
      <c r="AH222" s="24"/>
      <c r="AI222" s="24"/>
      <c r="AJ222" s="24"/>
      <c r="AK222" s="24" t="s">
        <v>322</v>
      </c>
      <c r="AL222" s="24" t="s">
        <v>3505</v>
      </c>
      <c r="AM222" s="24" t="s">
        <v>3506</v>
      </c>
      <c r="AN222" s="24">
        <v>43196</v>
      </c>
      <c r="AO222" s="24" t="s">
        <v>3507</v>
      </c>
      <c r="AP222" s="24">
        <v>69803</v>
      </c>
      <c r="AQ222" s="24" t="s">
        <v>2399</v>
      </c>
      <c r="AR222" s="24" t="s">
        <v>291</v>
      </c>
      <c r="AS222" s="24" t="s">
        <v>291</v>
      </c>
      <c r="AT222" s="24"/>
    </row>
    <row r="223" spans="1:46" s="23" customFormat="1" ht="15" customHeight="1">
      <c r="A223" s="11">
        <v>221</v>
      </c>
      <c r="B223" s="12">
        <v>8987</v>
      </c>
      <c r="C223" s="12" t="s">
        <v>271</v>
      </c>
      <c r="D223" s="18" t="s">
        <v>172</v>
      </c>
      <c r="E223" s="13" t="s">
        <v>3508</v>
      </c>
      <c r="F223" s="11" t="s">
        <v>3509</v>
      </c>
      <c r="G223" s="12" t="s">
        <v>3510</v>
      </c>
      <c r="H223" s="24" t="s">
        <v>3222</v>
      </c>
      <c r="I223" s="13" t="s">
        <v>3511</v>
      </c>
      <c r="J223" s="13" t="s">
        <v>3512</v>
      </c>
      <c r="K223" s="24" t="s">
        <v>3513</v>
      </c>
      <c r="L223" s="13" t="s">
        <v>3514</v>
      </c>
      <c r="M223" s="13"/>
      <c r="N223" s="13" t="s">
        <v>3515</v>
      </c>
      <c r="O223" s="13" t="s">
        <v>4</v>
      </c>
      <c r="P223" s="12" t="s">
        <v>3516</v>
      </c>
      <c r="Q223" s="24" t="s">
        <v>3517</v>
      </c>
      <c r="R223" s="12">
        <v>772510</v>
      </c>
      <c r="S223" s="24"/>
      <c r="T223" s="24"/>
      <c r="U223" s="24"/>
      <c r="V223" s="24" t="s">
        <v>283</v>
      </c>
      <c r="W223" s="24"/>
      <c r="X223" s="24"/>
      <c r="Y223" s="24"/>
      <c r="Z223" s="24"/>
      <c r="AA223" s="24"/>
      <c r="AB223" s="13" t="s">
        <v>4</v>
      </c>
      <c r="AC223" s="12" t="s">
        <v>3516</v>
      </c>
      <c r="AD223" s="24" t="s">
        <v>3517</v>
      </c>
      <c r="AE223" s="12">
        <v>772510</v>
      </c>
      <c r="AF223" s="13" t="s">
        <v>284</v>
      </c>
      <c r="AG223" s="13" t="s">
        <v>3518</v>
      </c>
      <c r="AH223" s="13" t="s">
        <v>286</v>
      </c>
      <c r="AI223" s="24" t="s">
        <v>287</v>
      </c>
      <c r="AJ223" s="24">
        <v>184</v>
      </c>
      <c r="AK223" s="24" t="s">
        <v>3519</v>
      </c>
      <c r="AL223" s="24" t="s">
        <v>3520</v>
      </c>
      <c r="AM223" s="24" t="s">
        <v>3521</v>
      </c>
      <c r="AN223" s="24">
        <v>43203</v>
      </c>
      <c r="AO223" s="24" t="s">
        <v>3516</v>
      </c>
      <c r="AP223" s="24">
        <v>772516</v>
      </c>
      <c r="AQ223" s="24" t="s">
        <v>2113</v>
      </c>
      <c r="AR223" s="24" t="s">
        <v>291</v>
      </c>
      <c r="AS223" s="24" t="s">
        <v>291</v>
      </c>
      <c r="AT223" s="24"/>
    </row>
    <row r="224" spans="1:46" s="23" customFormat="1" ht="15" customHeight="1">
      <c r="A224" s="11">
        <v>222</v>
      </c>
      <c r="B224" s="12">
        <v>9356</v>
      </c>
      <c r="C224" s="12" t="s">
        <v>271</v>
      </c>
      <c r="D224" s="18" t="s">
        <v>173</v>
      </c>
      <c r="E224" s="13" t="s">
        <v>3522</v>
      </c>
      <c r="F224" s="11" t="s">
        <v>3523</v>
      </c>
      <c r="G224" s="12" t="s">
        <v>3524</v>
      </c>
      <c r="H224" s="24" t="s">
        <v>3222</v>
      </c>
      <c r="I224" s="13" t="s">
        <v>3525</v>
      </c>
      <c r="J224" s="13" t="s">
        <v>3526</v>
      </c>
      <c r="K224" s="24" t="s">
        <v>3527</v>
      </c>
      <c r="L224" s="13" t="s">
        <v>3528</v>
      </c>
      <c r="M224" s="13"/>
      <c r="N224" s="13" t="s">
        <v>3529</v>
      </c>
      <c r="O224" s="13" t="s">
        <v>4</v>
      </c>
      <c r="P224" s="12" t="s">
        <v>3516</v>
      </c>
      <c r="Q224" s="24" t="s">
        <v>3517</v>
      </c>
      <c r="R224" s="12">
        <v>778900</v>
      </c>
      <c r="S224" s="24"/>
      <c r="T224" s="24"/>
      <c r="U224" s="24"/>
      <c r="V224" s="24" t="s">
        <v>283</v>
      </c>
      <c r="W224" s="24"/>
      <c r="X224" s="24"/>
      <c r="Y224" s="24"/>
      <c r="Z224" s="24"/>
      <c r="AA224" s="24"/>
      <c r="AB224" s="13" t="s">
        <v>4</v>
      </c>
      <c r="AC224" s="12" t="s">
        <v>3516</v>
      </c>
      <c r="AD224" s="24" t="s">
        <v>3517</v>
      </c>
      <c r="AE224" s="12">
        <v>778900</v>
      </c>
      <c r="AF224" s="13" t="s">
        <v>284</v>
      </c>
      <c r="AG224" s="13" t="s">
        <v>3530</v>
      </c>
      <c r="AH224" s="13" t="s">
        <v>286</v>
      </c>
      <c r="AI224" s="24" t="s">
        <v>287</v>
      </c>
      <c r="AJ224" s="24">
        <v>97</v>
      </c>
      <c r="AK224" s="24" t="s">
        <v>3531</v>
      </c>
      <c r="AL224" s="24" t="s">
        <v>3532</v>
      </c>
      <c r="AM224" s="24" t="s">
        <v>3533</v>
      </c>
      <c r="AN224" s="24">
        <v>36255</v>
      </c>
      <c r="AO224" s="24" t="s">
        <v>3516</v>
      </c>
      <c r="AP224" s="24">
        <v>778906</v>
      </c>
      <c r="AQ224" s="24" t="s">
        <v>2113</v>
      </c>
      <c r="AR224" s="24" t="s">
        <v>291</v>
      </c>
      <c r="AS224" s="24" t="s">
        <v>291</v>
      </c>
      <c r="AT224" s="24"/>
    </row>
    <row r="225" spans="1:46" s="23" customFormat="1" ht="15" customHeight="1">
      <c r="A225" s="11">
        <v>223</v>
      </c>
      <c r="B225" s="12">
        <v>9366</v>
      </c>
      <c r="C225" s="12" t="s">
        <v>271</v>
      </c>
      <c r="D225" s="18" t="s">
        <v>181</v>
      </c>
      <c r="E225" s="13" t="s">
        <v>3534</v>
      </c>
      <c r="F225" s="11" t="s">
        <v>3535</v>
      </c>
      <c r="G225" s="12" t="s">
        <v>3536</v>
      </c>
      <c r="H225" s="24" t="s">
        <v>3222</v>
      </c>
      <c r="I225" s="13" t="s">
        <v>3537</v>
      </c>
      <c r="J225" s="13" t="s">
        <v>3538</v>
      </c>
      <c r="K225" s="24" t="s">
        <v>3539</v>
      </c>
      <c r="L225" s="13" t="s">
        <v>3540</v>
      </c>
      <c r="M225" s="13"/>
      <c r="N225" s="13" t="s">
        <v>3541</v>
      </c>
      <c r="O225" s="13" t="s">
        <v>4</v>
      </c>
      <c r="P225" s="12" t="s">
        <v>3542</v>
      </c>
      <c r="Q225" s="24" t="s">
        <v>3343</v>
      </c>
      <c r="R225" s="12">
        <v>777150</v>
      </c>
      <c r="S225" s="24"/>
      <c r="T225" s="24"/>
      <c r="U225" s="24"/>
      <c r="V225" s="24" t="s">
        <v>283</v>
      </c>
      <c r="W225" s="24"/>
      <c r="X225" s="24"/>
      <c r="Y225" s="24"/>
      <c r="Z225" s="24"/>
      <c r="AA225" s="24"/>
      <c r="AB225" s="13" t="s">
        <v>4</v>
      </c>
      <c r="AC225" s="12" t="s">
        <v>3542</v>
      </c>
      <c r="AD225" s="24" t="s">
        <v>3343</v>
      </c>
      <c r="AE225" s="12">
        <v>777150</v>
      </c>
      <c r="AF225" s="13" t="s">
        <v>284</v>
      </c>
      <c r="AG225" s="13" t="s">
        <v>3543</v>
      </c>
      <c r="AH225" s="13" t="s">
        <v>286</v>
      </c>
      <c r="AI225" s="24" t="s">
        <v>287</v>
      </c>
      <c r="AJ225" s="24">
        <v>94</v>
      </c>
      <c r="AK225" s="24" t="s">
        <v>3544</v>
      </c>
      <c r="AL225" s="24" t="s">
        <v>3545</v>
      </c>
      <c r="AM225" s="24" t="s">
        <v>3546</v>
      </c>
      <c r="AN225" s="24">
        <v>28776</v>
      </c>
      <c r="AO225" s="24" t="s">
        <v>3542</v>
      </c>
      <c r="AP225" s="24">
        <v>777156</v>
      </c>
      <c r="AQ225" s="24" t="s">
        <v>2113</v>
      </c>
      <c r="AR225" s="24" t="s">
        <v>291</v>
      </c>
      <c r="AS225" s="24" t="s">
        <v>291</v>
      </c>
      <c r="AT225" s="24"/>
    </row>
    <row r="226" spans="1:46" s="23" customFormat="1" ht="15" customHeight="1">
      <c r="A226" s="11">
        <v>224</v>
      </c>
      <c r="B226" s="12">
        <v>9369</v>
      </c>
      <c r="C226" s="12" t="s">
        <v>271</v>
      </c>
      <c r="D226" s="18" t="s">
        <v>180</v>
      </c>
      <c r="E226" s="13" t="s">
        <v>3547</v>
      </c>
      <c r="F226" s="11" t="s">
        <v>3548</v>
      </c>
      <c r="G226" s="12" t="s">
        <v>3549</v>
      </c>
      <c r="H226" s="24" t="s">
        <v>3222</v>
      </c>
      <c r="I226" s="13" t="s">
        <v>3550</v>
      </c>
      <c r="J226" s="13" t="s">
        <v>3551</v>
      </c>
      <c r="K226" s="24" t="s">
        <v>3552</v>
      </c>
      <c r="L226" s="29" t="s">
        <v>3553</v>
      </c>
      <c r="M226" s="13" t="s">
        <v>248</v>
      </c>
      <c r="N226" s="13" t="s">
        <v>3554</v>
      </c>
      <c r="O226" s="13" t="s">
        <v>4</v>
      </c>
      <c r="P226" s="12" t="s">
        <v>3555</v>
      </c>
      <c r="Q226" s="24" t="s">
        <v>3502</v>
      </c>
      <c r="R226" s="12">
        <v>775130</v>
      </c>
      <c r="S226" s="24"/>
      <c r="T226" s="24"/>
      <c r="U226" s="24"/>
      <c r="V226" s="24" t="s">
        <v>283</v>
      </c>
      <c r="W226" s="24"/>
      <c r="X226" s="24"/>
      <c r="Y226" s="24"/>
      <c r="Z226" s="24"/>
      <c r="AA226" s="24"/>
      <c r="AB226" s="13" t="s">
        <v>4</v>
      </c>
      <c r="AC226" s="12" t="s">
        <v>3555</v>
      </c>
      <c r="AD226" s="24" t="s">
        <v>3502</v>
      </c>
      <c r="AE226" s="12">
        <v>775130</v>
      </c>
      <c r="AF226" s="13" t="s">
        <v>284</v>
      </c>
      <c r="AG226" s="13" t="s">
        <v>3556</v>
      </c>
      <c r="AH226" s="13" t="s">
        <v>286</v>
      </c>
      <c r="AI226" s="24" t="s">
        <v>287</v>
      </c>
      <c r="AJ226" s="24">
        <v>240</v>
      </c>
      <c r="AK226" s="24" t="s">
        <v>3557</v>
      </c>
      <c r="AL226" s="24" t="s">
        <v>3558</v>
      </c>
      <c r="AM226" s="24" t="s">
        <v>3559</v>
      </c>
      <c r="AN226" s="24">
        <v>43861</v>
      </c>
      <c r="AO226" s="24" t="s">
        <v>3555</v>
      </c>
      <c r="AP226" s="24">
        <v>775136</v>
      </c>
      <c r="AQ226" s="24" t="s">
        <v>2113</v>
      </c>
      <c r="AR226" s="24" t="s">
        <v>291</v>
      </c>
      <c r="AS226" s="24" t="s">
        <v>291</v>
      </c>
      <c r="AT226" s="24"/>
    </row>
    <row r="227" spans="1:46" s="23" customFormat="1" ht="15" customHeight="1">
      <c r="A227" s="11">
        <v>225</v>
      </c>
      <c r="B227" s="12">
        <v>72246</v>
      </c>
      <c r="C227" s="12" t="s">
        <v>271</v>
      </c>
      <c r="D227" s="18" t="s">
        <v>209</v>
      </c>
      <c r="E227" s="13" t="s">
        <v>3560</v>
      </c>
      <c r="F227" s="11" t="s">
        <v>3561</v>
      </c>
      <c r="G227" s="12" t="s">
        <v>3562</v>
      </c>
      <c r="H227" s="24" t="s">
        <v>3222</v>
      </c>
      <c r="I227" s="13" t="s">
        <v>3563</v>
      </c>
      <c r="J227" s="13" t="s">
        <v>3564</v>
      </c>
      <c r="K227" s="24" t="s">
        <v>3565</v>
      </c>
      <c r="L227" s="29" t="s">
        <v>3566</v>
      </c>
      <c r="M227" s="13" t="s">
        <v>248</v>
      </c>
      <c r="N227" s="13" t="s">
        <v>3567</v>
      </c>
      <c r="O227" s="13" t="s">
        <v>3</v>
      </c>
      <c r="P227" s="12" t="s">
        <v>3568</v>
      </c>
      <c r="Q227" s="24" t="s">
        <v>3569</v>
      </c>
      <c r="R227" s="12">
        <v>77083</v>
      </c>
      <c r="S227" s="13" t="s">
        <v>3</v>
      </c>
      <c r="T227" s="12" t="s">
        <v>3568</v>
      </c>
      <c r="U227" s="24" t="s">
        <v>3569</v>
      </c>
      <c r="V227" s="12">
        <v>77083</v>
      </c>
      <c r="W227" s="13" t="s">
        <v>3430</v>
      </c>
      <c r="X227" s="13" t="s">
        <v>3570</v>
      </c>
      <c r="Y227" s="13" t="s">
        <v>3432</v>
      </c>
      <c r="Z227" s="24" t="s">
        <v>3433</v>
      </c>
      <c r="AA227" s="24" t="s">
        <v>3571</v>
      </c>
      <c r="AB227" s="24"/>
      <c r="AC227" s="24"/>
      <c r="AD227" s="24"/>
      <c r="AE227" s="24" t="s">
        <v>321</v>
      </c>
      <c r="AF227" s="24"/>
      <c r="AG227" s="24"/>
      <c r="AH227" s="24"/>
      <c r="AI227" s="24"/>
      <c r="AJ227" s="24"/>
      <c r="AK227" s="24" t="s">
        <v>322</v>
      </c>
      <c r="AL227" s="24" t="s">
        <v>3572</v>
      </c>
      <c r="AM227" s="24" t="s">
        <v>3573</v>
      </c>
      <c r="AN227" s="24">
        <v>47037</v>
      </c>
      <c r="AO227" s="24" t="s">
        <v>3574</v>
      </c>
      <c r="AP227" s="24">
        <v>77084</v>
      </c>
      <c r="AQ227" s="24" t="s">
        <v>12</v>
      </c>
      <c r="AR227" s="24" t="s">
        <v>12</v>
      </c>
      <c r="AS227" s="24" t="s">
        <v>3575</v>
      </c>
      <c r="AT227" s="24"/>
    </row>
    <row r="228" spans="1:46" s="23" customFormat="1" ht="15" customHeight="1">
      <c r="A228" s="11">
        <v>226</v>
      </c>
      <c r="B228" s="12">
        <v>729</v>
      </c>
      <c r="C228" s="12" t="s">
        <v>271</v>
      </c>
      <c r="D228" s="18" t="s">
        <v>189</v>
      </c>
      <c r="E228" s="13" t="s">
        <v>3576</v>
      </c>
      <c r="F228" s="11" t="s">
        <v>3577</v>
      </c>
      <c r="G228" s="12" t="s">
        <v>3578</v>
      </c>
      <c r="H228" s="24" t="s">
        <v>3579</v>
      </c>
      <c r="I228" s="13" t="s">
        <v>3580</v>
      </c>
      <c r="J228" s="13" t="s">
        <v>3581</v>
      </c>
      <c r="K228" s="24" t="s">
        <v>3582</v>
      </c>
      <c r="L228" s="29" t="s">
        <v>3583</v>
      </c>
      <c r="M228" s="13" t="s">
        <v>248</v>
      </c>
      <c r="N228" s="13" t="s">
        <v>3584</v>
      </c>
      <c r="O228" s="13" t="s">
        <v>3</v>
      </c>
      <c r="P228" s="12" t="s">
        <v>3585</v>
      </c>
      <c r="Q228" s="24" t="s">
        <v>3586</v>
      </c>
      <c r="R228" s="12">
        <v>75167</v>
      </c>
      <c r="S228" s="13" t="s">
        <v>3</v>
      </c>
      <c r="T228" s="12" t="s">
        <v>3585</v>
      </c>
      <c r="U228" s="24" t="s">
        <v>3586</v>
      </c>
      <c r="V228" s="12">
        <v>75167</v>
      </c>
      <c r="W228" s="13" t="s">
        <v>3587</v>
      </c>
      <c r="X228" s="13" t="s">
        <v>3588</v>
      </c>
      <c r="Y228" s="13" t="s">
        <v>3589</v>
      </c>
      <c r="Z228" s="24" t="s">
        <v>3590</v>
      </c>
      <c r="AA228" s="24" t="s">
        <v>3591</v>
      </c>
      <c r="AB228" s="24"/>
      <c r="AC228" s="24"/>
      <c r="AD228" s="24"/>
      <c r="AE228" s="24" t="s">
        <v>321</v>
      </c>
      <c r="AF228" s="24"/>
      <c r="AG228" s="24"/>
      <c r="AH228" s="24"/>
      <c r="AI228" s="24"/>
      <c r="AJ228" s="24"/>
      <c r="AK228" s="24" t="s">
        <v>322</v>
      </c>
      <c r="AL228" s="24" t="s">
        <v>3592</v>
      </c>
      <c r="AM228" s="24" t="s">
        <v>3593</v>
      </c>
      <c r="AN228" s="24">
        <v>31598</v>
      </c>
      <c r="AO228" s="24" t="s">
        <v>3594</v>
      </c>
      <c r="AP228" s="24">
        <v>75168</v>
      </c>
      <c r="AQ228" s="24" t="s">
        <v>3</v>
      </c>
      <c r="AR228" s="24" t="s">
        <v>291</v>
      </c>
      <c r="AS228" s="24" t="s">
        <v>291</v>
      </c>
      <c r="AT228" s="24"/>
    </row>
    <row r="229" spans="1:46" s="23" customFormat="1" ht="15" customHeight="1">
      <c r="A229" s="11">
        <v>227</v>
      </c>
      <c r="B229" s="12">
        <v>1630</v>
      </c>
      <c r="C229" s="12" t="s">
        <v>271</v>
      </c>
      <c r="D229" s="18" t="s">
        <v>207</v>
      </c>
      <c r="E229" s="13" t="s">
        <v>3595</v>
      </c>
      <c r="F229" s="11" t="s">
        <v>3596</v>
      </c>
      <c r="G229" s="12" t="s">
        <v>3597</v>
      </c>
      <c r="H229" s="24" t="s">
        <v>3579</v>
      </c>
      <c r="I229" s="13" t="s">
        <v>3598</v>
      </c>
      <c r="J229" s="13" t="s">
        <v>3599</v>
      </c>
      <c r="K229" s="24" t="s">
        <v>3600</v>
      </c>
      <c r="L229" s="29" t="s">
        <v>3601</v>
      </c>
      <c r="M229" s="13" t="s">
        <v>248</v>
      </c>
      <c r="N229" s="13" t="s">
        <v>3602</v>
      </c>
      <c r="O229" s="13" t="s">
        <v>3</v>
      </c>
      <c r="P229" s="12" t="s">
        <v>3603</v>
      </c>
      <c r="Q229" s="24" t="s">
        <v>3604</v>
      </c>
      <c r="R229" s="12">
        <v>85054</v>
      </c>
      <c r="S229" s="13" t="s">
        <v>3</v>
      </c>
      <c r="T229" s="12" t="s">
        <v>3603</v>
      </c>
      <c r="U229" s="24" t="s">
        <v>3604</v>
      </c>
      <c r="V229" s="12">
        <v>85054</v>
      </c>
      <c r="W229" s="13" t="s">
        <v>3587</v>
      </c>
      <c r="X229" s="13" t="s">
        <v>3605</v>
      </c>
      <c r="Y229" s="13" t="s">
        <v>3589</v>
      </c>
      <c r="Z229" s="24" t="s">
        <v>3590</v>
      </c>
      <c r="AA229" s="24" t="s">
        <v>3606</v>
      </c>
      <c r="AB229" s="24"/>
      <c r="AC229" s="24"/>
      <c r="AD229" s="24"/>
      <c r="AE229" s="24" t="s">
        <v>321</v>
      </c>
      <c r="AF229" s="24"/>
      <c r="AG229" s="24"/>
      <c r="AH229" s="24"/>
      <c r="AI229" s="24"/>
      <c r="AJ229" s="24"/>
      <c r="AK229" s="24" t="s">
        <v>322</v>
      </c>
      <c r="AL229" s="24" t="s">
        <v>3607</v>
      </c>
      <c r="AM229" s="24" t="s">
        <v>3608</v>
      </c>
      <c r="AN229" s="24">
        <v>45416</v>
      </c>
      <c r="AO229" s="24" t="s">
        <v>3609</v>
      </c>
      <c r="AP229" s="24">
        <v>85055</v>
      </c>
      <c r="AQ229" s="24" t="s">
        <v>3610</v>
      </c>
      <c r="AR229" s="24" t="s">
        <v>291</v>
      </c>
      <c r="AS229" s="24" t="s">
        <v>291</v>
      </c>
      <c r="AT229" s="24"/>
    </row>
    <row r="230" spans="1:46" s="23" customFormat="1" ht="15" customHeight="1">
      <c r="A230" s="11">
        <v>228</v>
      </c>
      <c r="B230" s="12">
        <v>1653</v>
      </c>
      <c r="C230" s="12" t="s">
        <v>271</v>
      </c>
      <c r="D230" s="18" t="s">
        <v>190</v>
      </c>
      <c r="E230" s="13" t="s">
        <v>3611</v>
      </c>
      <c r="F230" s="11" t="s">
        <v>3612</v>
      </c>
      <c r="G230" s="12" t="s">
        <v>3613</v>
      </c>
      <c r="H230" s="24" t="s">
        <v>3579</v>
      </c>
      <c r="I230" s="13" t="s">
        <v>3614</v>
      </c>
      <c r="J230" s="13" t="s">
        <v>3615</v>
      </c>
      <c r="K230" s="24" t="s">
        <v>3616</v>
      </c>
      <c r="L230" s="13" t="s">
        <v>3617</v>
      </c>
      <c r="M230" s="13"/>
      <c r="N230" s="13" t="s">
        <v>3618</v>
      </c>
      <c r="O230" s="13" t="s">
        <v>4</v>
      </c>
      <c r="P230" s="12" t="s">
        <v>3619</v>
      </c>
      <c r="Q230" s="24" t="s">
        <v>3620</v>
      </c>
      <c r="R230" s="12">
        <v>914610</v>
      </c>
      <c r="S230" s="24"/>
      <c r="T230" s="24"/>
      <c r="U230" s="24"/>
      <c r="V230" s="24" t="s">
        <v>283</v>
      </c>
      <c r="W230" s="24"/>
      <c r="X230" s="24"/>
      <c r="Y230" s="24"/>
      <c r="Z230" s="24"/>
      <c r="AA230" s="24"/>
      <c r="AB230" s="13" t="s">
        <v>4</v>
      </c>
      <c r="AC230" s="12" t="s">
        <v>3619</v>
      </c>
      <c r="AD230" s="24" t="s">
        <v>3620</v>
      </c>
      <c r="AE230" s="12">
        <v>914610</v>
      </c>
      <c r="AF230" s="13" t="s">
        <v>284</v>
      </c>
      <c r="AG230" s="13" t="s">
        <v>3621</v>
      </c>
      <c r="AH230" s="13" t="s">
        <v>286</v>
      </c>
      <c r="AI230" s="24" t="s">
        <v>287</v>
      </c>
      <c r="AJ230" s="24">
        <v>234</v>
      </c>
      <c r="AK230" s="24" t="s">
        <v>3622</v>
      </c>
      <c r="AL230" s="24" t="s">
        <v>3623</v>
      </c>
      <c r="AM230" s="24" t="s">
        <v>3624</v>
      </c>
      <c r="AN230" s="24">
        <v>43583</v>
      </c>
      <c r="AO230" s="24" t="s">
        <v>3619</v>
      </c>
      <c r="AP230" s="24">
        <v>914616</v>
      </c>
      <c r="AQ230" s="24" t="s">
        <v>2113</v>
      </c>
      <c r="AR230" s="24" t="s">
        <v>291</v>
      </c>
      <c r="AS230" s="24" t="s">
        <v>291</v>
      </c>
      <c r="AT230" s="24"/>
    </row>
    <row r="231" spans="1:46" s="23" customFormat="1" ht="15" customHeight="1">
      <c r="A231" s="11">
        <v>229</v>
      </c>
      <c r="B231" s="12">
        <v>2744</v>
      </c>
      <c r="C231" s="12" t="s">
        <v>271</v>
      </c>
      <c r="D231" s="18" t="s">
        <v>197</v>
      </c>
      <c r="E231" s="13" t="s">
        <v>3625</v>
      </c>
      <c r="F231" s="11" t="s">
        <v>3626</v>
      </c>
      <c r="G231" s="12" t="s">
        <v>3627</v>
      </c>
      <c r="H231" s="24" t="s">
        <v>3579</v>
      </c>
      <c r="I231" s="13" t="s">
        <v>3628</v>
      </c>
      <c r="J231" s="13" t="s">
        <v>3629</v>
      </c>
      <c r="K231" s="24" t="s">
        <v>3630</v>
      </c>
      <c r="L231" s="29" t="s">
        <v>3631</v>
      </c>
      <c r="M231" s="13" t="s">
        <v>248</v>
      </c>
      <c r="N231" s="13" t="s">
        <v>3632</v>
      </c>
      <c r="O231" s="13" t="s">
        <v>4</v>
      </c>
      <c r="P231" s="12" t="s">
        <v>3633</v>
      </c>
      <c r="Q231" s="24" t="s">
        <v>3634</v>
      </c>
      <c r="R231" s="12">
        <v>917300</v>
      </c>
      <c r="S231" s="24"/>
      <c r="T231" s="24"/>
      <c r="U231" s="24"/>
      <c r="V231" s="24" t="s">
        <v>283</v>
      </c>
      <c r="W231" s="24"/>
      <c r="X231" s="24"/>
      <c r="Y231" s="24"/>
      <c r="Z231" s="24"/>
      <c r="AA231" s="24"/>
      <c r="AB231" s="13" t="s">
        <v>4</v>
      </c>
      <c r="AC231" s="12" t="s">
        <v>3633</v>
      </c>
      <c r="AD231" s="24" t="s">
        <v>3634</v>
      </c>
      <c r="AE231" s="12">
        <v>917300</v>
      </c>
      <c r="AF231" s="13" t="s">
        <v>284</v>
      </c>
      <c r="AG231" s="13" t="s">
        <v>3635</v>
      </c>
      <c r="AH231" s="13" t="s">
        <v>286</v>
      </c>
      <c r="AI231" s="24" t="s">
        <v>287</v>
      </c>
      <c r="AJ231" s="24">
        <v>108</v>
      </c>
      <c r="AK231" s="24" t="s">
        <v>3636</v>
      </c>
      <c r="AL231" s="24" t="s">
        <v>3637</v>
      </c>
      <c r="AM231" s="24" t="s">
        <v>3638</v>
      </c>
      <c r="AN231" s="24">
        <v>40322</v>
      </c>
      <c r="AO231" s="24" t="s">
        <v>3633</v>
      </c>
      <c r="AP231" s="24">
        <v>917306</v>
      </c>
      <c r="AQ231" s="24" t="s">
        <v>2113</v>
      </c>
      <c r="AR231" s="24" t="s">
        <v>291</v>
      </c>
      <c r="AS231" s="24" t="s">
        <v>291</v>
      </c>
      <c r="AT231" s="24"/>
    </row>
    <row r="232" spans="1:46" s="23" customFormat="1" ht="15" customHeight="1">
      <c r="A232" s="11">
        <v>230</v>
      </c>
      <c r="B232" s="12">
        <v>9318</v>
      </c>
      <c r="C232" s="12" t="s">
        <v>271</v>
      </c>
      <c r="D232" s="18" t="s">
        <v>196</v>
      </c>
      <c r="E232" s="13" t="s">
        <v>3639</v>
      </c>
      <c r="F232" s="11" t="s">
        <v>3640</v>
      </c>
      <c r="G232" s="12" t="s">
        <v>3641</v>
      </c>
      <c r="H232" s="24" t="s">
        <v>3579</v>
      </c>
      <c r="I232" s="13" t="s">
        <v>3642</v>
      </c>
      <c r="J232" s="13" t="s">
        <v>3643</v>
      </c>
      <c r="K232" s="24" t="s">
        <v>3644</v>
      </c>
      <c r="L232" s="29" t="s">
        <v>3645</v>
      </c>
      <c r="M232" s="13" t="s">
        <v>248</v>
      </c>
      <c r="N232" s="13" t="s">
        <v>3646</v>
      </c>
      <c r="O232" s="13" t="s">
        <v>4</v>
      </c>
      <c r="P232" s="12" t="s">
        <v>3647</v>
      </c>
      <c r="Q232" s="24" t="s">
        <v>3648</v>
      </c>
      <c r="R232" s="12">
        <v>914300</v>
      </c>
      <c r="S232" s="24"/>
      <c r="T232" s="24"/>
      <c r="U232" s="24"/>
      <c r="V232" s="24" t="s">
        <v>283</v>
      </c>
      <c r="W232" s="24"/>
      <c r="X232" s="24"/>
      <c r="Y232" s="24"/>
      <c r="Z232" s="24"/>
      <c r="AA232" s="24"/>
      <c r="AB232" s="13" t="s">
        <v>4</v>
      </c>
      <c r="AC232" s="12" t="s">
        <v>3647</v>
      </c>
      <c r="AD232" s="24" t="s">
        <v>3648</v>
      </c>
      <c r="AE232" s="12">
        <v>914300</v>
      </c>
      <c r="AF232" s="13" t="s">
        <v>284</v>
      </c>
      <c r="AG232" s="13" t="s">
        <v>3649</v>
      </c>
      <c r="AH232" s="13" t="s">
        <v>286</v>
      </c>
      <c r="AI232" s="24" t="s">
        <v>287</v>
      </c>
      <c r="AJ232" s="24">
        <v>105</v>
      </c>
      <c r="AK232" s="24" t="s">
        <v>3650</v>
      </c>
      <c r="AL232" s="24" t="s">
        <v>3651</v>
      </c>
      <c r="AM232" s="24" t="s">
        <v>3652</v>
      </c>
      <c r="AN232" s="24">
        <v>38254</v>
      </c>
      <c r="AO232" s="25" t="s">
        <v>1544</v>
      </c>
      <c r="AP232" s="24">
        <v>914306</v>
      </c>
      <c r="AQ232" s="24" t="s">
        <v>2113</v>
      </c>
      <c r="AR232" s="24" t="s">
        <v>291</v>
      </c>
      <c r="AS232" s="24" t="s">
        <v>291</v>
      </c>
      <c r="AT232" s="24" t="s">
        <v>3348</v>
      </c>
    </row>
    <row r="233" spans="1:46" s="23" customFormat="1" ht="15" customHeight="1">
      <c r="A233" s="11">
        <v>231</v>
      </c>
      <c r="B233" s="12">
        <v>3478</v>
      </c>
      <c r="C233" s="12" t="s">
        <v>271</v>
      </c>
      <c r="D233" s="18" t="s">
        <v>201</v>
      </c>
      <c r="E233" s="13" t="s">
        <v>3653</v>
      </c>
      <c r="F233" s="11" t="s">
        <v>3654</v>
      </c>
      <c r="G233" s="12" t="s">
        <v>3655</v>
      </c>
      <c r="H233" s="24" t="s">
        <v>3579</v>
      </c>
      <c r="I233" s="13" t="s">
        <v>3656</v>
      </c>
      <c r="J233" s="13" t="s">
        <v>3657</v>
      </c>
      <c r="K233" s="24" t="s">
        <v>3658</v>
      </c>
      <c r="L233" s="29" t="s">
        <v>3659</v>
      </c>
      <c r="M233" s="13" t="s">
        <v>248</v>
      </c>
      <c r="N233" s="13" t="s">
        <v>3660</v>
      </c>
      <c r="O233" s="13" t="s">
        <v>3</v>
      </c>
      <c r="P233" s="12" t="s">
        <v>3661</v>
      </c>
      <c r="Q233" s="24" t="s">
        <v>3662</v>
      </c>
      <c r="R233" s="12">
        <v>80230</v>
      </c>
      <c r="S233" s="13" t="s">
        <v>3</v>
      </c>
      <c r="T233" s="12" t="s">
        <v>3661</v>
      </c>
      <c r="U233" s="24" t="s">
        <v>3662</v>
      </c>
      <c r="V233" s="12">
        <v>80230</v>
      </c>
      <c r="W233" s="13" t="s">
        <v>3587</v>
      </c>
      <c r="X233" s="13" t="s">
        <v>3663</v>
      </c>
      <c r="Y233" s="13" t="s">
        <v>3589</v>
      </c>
      <c r="Z233" s="24" t="s">
        <v>3590</v>
      </c>
      <c r="AA233" s="24" t="s">
        <v>3664</v>
      </c>
      <c r="AB233" s="24"/>
      <c r="AC233" s="24"/>
      <c r="AD233" s="24"/>
      <c r="AE233" s="24" t="s">
        <v>321</v>
      </c>
      <c r="AF233" s="24"/>
      <c r="AG233" s="24"/>
      <c r="AH233" s="24"/>
      <c r="AI233" s="24"/>
      <c r="AJ233" s="24"/>
      <c r="AK233" s="24" t="s">
        <v>322</v>
      </c>
      <c r="AL233" s="24" t="s">
        <v>3665</v>
      </c>
      <c r="AM233" s="24" t="s">
        <v>3666</v>
      </c>
      <c r="AN233" s="24">
        <v>43249</v>
      </c>
      <c r="AO233" s="24" t="s">
        <v>3667</v>
      </c>
      <c r="AP233" s="24">
        <v>80231</v>
      </c>
      <c r="AQ233" s="24" t="s">
        <v>3610</v>
      </c>
      <c r="AR233" s="24" t="s">
        <v>291</v>
      </c>
      <c r="AS233" s="24" t="s">
        <v>291</v>
      </c>
      <c r="AT233" s="24"/>
    </row>
    <row r="234" spans="1:46" s="23" customFormat="1" ht="15" customHeight="1">
      <c r="A234" s="11">
        <v>232</v>
      </c>
      <c r="B234" s="12">
        <v>3496</v>
      </c>
      <c r="C234" s="12" t="s">
        <v>271</v>
      </c>
      <c r="D234" s="18" t="s">
        <v>202</v>
      </c>
      <c r="E234" s="13" t="s">
        <v>3668</v>
      </c>
      <c r="F234" s="11" t="s">
        <v>3669</v>
      </c>
      <c r="G234" s="12" t="s">
        <v>3670</v>
      </c>
      <c r="H234" s="24" t="s">
        <v>3579</v>
      </c>
      <c r="I234" s="13" t="s">
        <v>3671</v>
      </c>
      <c r="J234" s="13" t="s">
        <v>3672</v>
      </c>
      <c r="K234" s="24" t="s">
        <v>3673</v>
      </c>
      <c r="L234" s="29" t="s">
        <v>3674</v>
      </c>
      <c r="M234" s="13" t="s">
        <v>248</v>
      </c>
      <c r="N234" s="13" t="s">
        <v>3675</v>
      </c>
      <c r="O234" s="13" t="s">
        <v>4</v>
      </c>
      <c r="P234" s="12" t="s">
        <v>3676</v>
      </c>
      <c r="Q234" s="24" t="s">
        <v>3677</v>
      </c>
      <c r="R234" s="12">
        <v>915610</v>
      </c>
      <c r="S234" s="24"/>
      <c r="T234" s="24"/>
      <c r="U234" s="24"/>
      <c r="V234" s="24" t="s">
        <v>283</v>
      </c>
      <c r="W234" s="24"/>
      <c r="X234" s="24"/>
      <c r="Y234" s="24"/>
      <c r="Z234" s="24"/>
      <c r="AA234" s="24"/>
      <c r="AB234" s="13" t="s">
        <v>4</v>
      </c>
      <c r="AC234" s="12" t="s">
        <v>3676</v>
      </c>
      <c r="AD234" s="24" t="s">
        <v>3677</v>
      </c>
      <c r="AE234" s="12">
        <v>915610</v>
      </c>
      <c r="AF234" s="13" t="s">
        <v>284</v>
      </c>
      <c r="AG234" s="13" t="s">
        <v>3678</v>
      </c>
      <c r="AH234" s="13" t="s">
        <v>286</v>
      </c>
      <c r="AI234" s="24" t="s">
        <v>287</v>
      </c>
      <c r="AJ234" s="24">
        <v>253</v>
      </c>
      <c r="AK234" s="24" t="s">
        <v>3679</v>
      </c>
      <c r="AL234" s="24" t="s">
        <v>3680</v>
      </c>
      <c r="AM234" s="24" t="s">
        <v>3681</v>
      </c>
      <c r="AN234" s="24">
        <v>44315</v>
      </c>
      <c r="AO234" s="24" t="s">
        <v>3676</v>
      </c>
      <c r="AP234" s="24">
        <v>915616</v>
      </c>
      <c r="AQ234" s="24" t="s">
        <v>2113</v>
      </c>
      <c r="AR234" s="24" t="s">
        <v>291</v>
      </c>
      <c r="AS234" s="24" t="s">
        <v>291</v>
      </c>
      <c r="AT234" s="24"/>
    </row>
    <row r="235" spans="1:46" s="23" customFormat="1" ht="15" customHeight="1">
      <c r="A235" s="11">
        <v>233</v>
      </c>
      <c r="B235" s="12">
        <v>5543</v>
      </c>
      <c r="C235" s="12" t="s">
        <v>271</v>
      </c>
      <c r="D235" s="18" t="s">
        <v>191</v>
      </c>
      <c r="E235" s="13" t="s">
        <v>3682</v>
      </c>
      <c r="F235" s="11" t="s">
        <v>3683</v>
      </c>
      <c r="G235" s="12" t="s">
        <v>3684</v>
      </c>
      <c r="H235" s="24" t="s">
        <v>3579</v>
      </c>
      <c r="I235" s="13" t="s">
        <v>3685</v>
      </c>
      <c r="J235" s="13" t="s">
        <v>3686</v>
      </c>
      <c r="K235" s="24" t="s">
        <v>3687</v>
      </c>
      <c r="L235" s="29" t="s">
        <v>3688</v>
      </c>
      <c r="M235" s="13" t="s">
        <v>248</v>
      </c>
      <c r="N235" s="13" t="s">
        <v>3689</v>
      </c>
      <c r="O235" s="13" t="s">
        <v>3</v>
      </c>
      <c r="P235" s="12" t="s">
        <v>3690</v>
      </c>
      <c r="Q235" s="24" t="s">
        <v>3691</v>
      </c>
      <c r="R235" s="12">
        <v>80223</v>
      </c>
      <c r="S235" s="13" t="s">
        <v>3</v>
      </c>
      <c r="T235" s="12" t="s">
        <v>3690</v>
      </c>
      <c r="U235" s="24" t="s">
        <v>3691</v>
      </c>
      <c r="V235" s="12">
        <v>80223</v>
      </c>
      <c r="W235" s="13" t="s">
        <v>3587</v>
      </c>
      <c r="X235" s="13" t="s">
        <v>3692</v>
      </c>
      <c r="Y235" s="13" t="s">
        <v>3589</v>
      </c>
      <c r="Z235" s="24" t="s">
        <v>3590</v>
      </c>
      <c r="AA235" s="24" t="s">
        <v>3693</v>
      </c>
      <c r="AB235" s="24"/>
      <c r="AC235" s="24"/>
      <c r="AD235" s="24"/>
      <c r="AE235" s="24" t="s">
        <v>321</v>
      </c>
      <c r="AF235" s="24"/>
      <c r="AG235" s="24"/>
      <c r="AH235" s="24"/>
      <c r="AI235" s="24"/>
      <c r="AJ235" s="24"/>
      <c r="AK235" s="24" t="s">
        <v>322</v>
      </c>
      <c r="AL235" s="24" t="s">
        <v>3694</v>
      </c>
      <c r="AM235" s="24" t="s">
        <v>3695</v>
      </c>
      <c r="AN235" s="24">
        <v>44625</v>
      </c>
      <c r="AO235" s="24" t="s">
        <v>3696</v>
      </c>
      <c r="AP235" s="24">
        <v>80224</v>
      </c>
      <c r="AQ235" s="24" t="s">
        <v>3</v>
      </c>
      <c r="AR235" s="24" t="s">
        <v>291</v>
      </c>
      <c r="AS235" s="24" t="s">
        <v>291</v>
      </c>
      <c r="AT235" s="24"/>
    </row>
    <row r="236" spans="1:46" s="23" customFormat="1" ht="15" customHeight="1">
      <c r="A236" s="11">
        <v>234</v>
      </c>
      <c r="B236" s="12">
        <v>8964</v>
      </c>
      <c r="C236" s="12" t="s">
        <v>271</v>
      </c>
      <c r="D236" s="18" t="s">
        <v>203</v>
      </c>
      <c r="E236" s="13" t="s">
        <v>3697</v>
      </c>
      <c r="F236" s="11" t="s">
        <v>3698</v>
      </c>
      <c r="G236" s="12" t="s">
        <v>3699</v>
      </c>
      <c r="H236" s="24" t="s">
        <v>3579</v>
      </c>
      <c r="I236" s="13" t="s">
        <v>3700</v>
      </c>
      <c r="J236" s="13" t="s">
        <v>3701</v>
      </c>
      <c r="K236" s="24" t="s">
        <v>3702</v>
      </c>
      <c r="L236" s="29" t="s">
        <v>3703</v>
      </c>
      <c r="M236" s="13" t="s">
        <v>248</v>
      </c>
      <c r="N236" s="13" t="s">
        <v>3704</v>
      </c>
      <c r="O236" s="13" t="s">
        <v>4</v>
      </c>
      <c r="P236" s="12" t="s">
        <v>3705</v>
      </c>
      <c r="Q236" s="24" t="s">
        <v>3706</v>
      </c>
      <c r="R236" s="12">
        <v>919140</v>
      </c>
      <c r="S236" s="24"/>
      <c r="T236" s="24"/>
      <c r="U236" s="24"/>
      <c r="V236" s="24" t="s">
        <v>283</v>
      </c>
      <c r="W236" s="24"/>
      <c r="X236" s="24"/>
      <c r="Y236" s="24"/>
      <c r="Z236" s="24"/>
      <c r="AA236" s="24"/>
      <c r="AB236" s="13" t="s">
        <v>4</v>
      </c>
      <c r="AC236" s="12" t="s">
        <v>3705</v>
      </c>
      <c r="AD236" s="24" t="s">
        <v>3706</v>
      </c>
      <c r="AE236" s="12">
        <v>919140</v>
      </c>
      <c r="AF236" s="13" t="s">
        <v>284</v>
      </c>
      <c r="AG236" s="13" t="s">
        <v>3707</v>
      </c>
      <c r="AH236" s="13" t="s">
        <v>286</v>
      </c>
      <c r="AI236" s="24" t="s">
        <v>287</v>
      </c>
      <c r="AJ236" s="24">
        <v>186</v>
      </c>
      <c r="AK236" s="24" t="s">
        <v>3708</v>
      </c>
      <c r="AL236" s="24" t="s">
        <v>3709</v>
      </c>
      <c r="AM236" s="24" t="s">
        <v>3710</v>
      </c>
      <c r="AN236" s="24">
        <v>43204</v>
      </c>
      <c r="AO236" s="24" t="s">
        <v>3705</v>
      </c>
      <c r="AP236" s="24">
        <v>919146</v>
      </c>
      <c r="AQ236" s="24" t="s">
        <v>2113</v>
      </c>
      <c r="AR236" s="24" t="s">
        <v>291</v>
      </c>
      <c r="AS236" s="24" t="s">
        <v>291</v>
      </c>
      <c r="AT236" s="24"/>
    </row>
    <row r="237" spans="1:46" s="23" customFormat="1" ht="15" customHeight="1">
      <c r="A237" s="11">
        <v>235</v>
      </c>
      <c r="B237" s="12">
        <v>9363</v>
      </c>
      <c r="C237" s="12" t="s">
        <v>271</v>
      </c>
      <c r="D237" s="18" t="s">
        <v>204</v>
      </c>
      <c r="E237" s="13" t="s">
        <v>3711</v>
      </c>
      <c r="F237" s="11" t="s">
        <v>3712</v>
      </c>
      <c r="G237" s="12" t="s">
        <v>3713</v>
      </c>
      <c r="H237" s="24" t="s">
        <v>3579</v>
      </c>
      <c r="I237" s="13" t="s">
        <v>3714</v>
      </c>
      <c r="J237" s="13" t="s">
        <v>3715</v>
      </c>
      <c r="K237" s="24" t="s">
        <v>3716</v>
      </c>
      <c r="L237" s="29" t="s">
        <v>3717</v>
      </c>
      <c r="M237" s="13" t="s">
        <v>248</v>
      </c>
      <c r="N237" s="13" t="s">
        <v>3718</v>
      </c>
      <c r="O237" s="13" t="s">
        <v>4</v>
      </c>
      <c r="P237" s="12" t="s">
        <v>3719</v>
      </c>
      <c r="Q237" s="24" t="s">
        <v>3720</v>
      </c>
      <c r="R237" s="12">
        <v>911300</v>
      </c>
      <c r="S237" s="24"/>
      <c r="T237" s="24"/>
      <c r="U237" s="24"/>
      <c r="V237" s="24" t="s">
        <v>283</v>
      </c>
      <c r="W237" s="24"/>
      <c r="X237" s="24"/>
      <c r="Y237" s="24"/>
      <c r="Z237" s="24"/>
      <c r="AA237" s="24"/>
      <c r="AB237" s="13" t="s">
        <v>4</v>
      </c>
      <c r="AC237" s="12" t="s">
        <v>3719</v>
      </c>
      <c r="AD237" s="24" t="s">
        <v>3720</v>
      </c>
      <c r="AE237" s="12">
        <v>911300</v>
      </c>
      <c r="AF237" s="13" t="s">
        <v>284</v>
      </c>
      <c r="AG237" s="13" t="s">
        <v>3721</v>
      </c>
      <c r="AH237" s="13" t="s">
        <v>286</v>
      </c>
      <c r="AI237" s="24" t="s">
        <v>287</v>
      </c>
      <c r="AJ237" s="24">
        <v>182</v>
      </c>
      <c r="AK237" s="24" t="s">
        <v>3722</v>
      </c>
      <c r="AL237" s="24" t="s">
        <v>3723</v>
      </c>
      <c r="AM237" s="24" t="s">
        <v>3724</v>
      </c>
      <c r="AN237" s="24">
        <v>43146</v>
      </c>
      <c r="AO237" s="24" t="s">
        <v>3719</v>
      </c>
      <c r="AP237" s="24">
        <v>911306</v>
      </c>
      <c r="AQ237" s="24" t="s">
        <v>2113</v>
      </c>
      <c r="AR237" s="24" t="s">
        <v>291</v>
      </c>
      <c r="AS237" s="24" t="s">
        <v>291</v>
      </c>
      <c r="AT237" s="24"/>
    </row>
    <row r="238" spans="1:46" s="23" customFormat="1" ht="15" customHeight="1">
      <c r="A238" s="11">
        <v>236</v>
      </c>
      <c r="B238" s="12">
        <v>5752</v>
      </c>
      <c r="C238" s="12" t="s">
        <v>271</v>
      </c>
      <c r="D238" s="18" t="s">
        <v>199</v>
      </c>
      <c r="E238" s="13" t="s">
        <v>3725</v>
      </c>
      <c r="F238" s="11" t="s">
        <v>3726</v>
      </c>
      <c r="G238" s="12" t="s">
        <v>3727</v>
      </c>
      <c r="H238" s="24" t="s">
        <v>3579</v>
      </c>
      <c r="I238" s="13" t="s">
        <v>3728</v>
      </c>
      <c r="J238" s="13" t="s">
        <v>3729</v>
      </c>
      <c r="K238" s="24" t="s">
        <v>3730</v>
      </c>
      <c r="L238" s="13" t="s">
        <v>3731</v>
      </c>
      <c r="M238" s="13"/>
      <c r="N238" s="13" t="s">
        <v>3732</v>
      </c>
      <c r="O238" s="13" t="s">
        <v>4</v>
      </c>
      <c r="P238" s="12" t="s">
        <v>2511</v>
      </c>
      <c r="Q238" s="24" t="s">
        <v>3733</v>
      </c>
      <c r="R238" s="12">
        <v>998560</v>
      </c>
      <c r="S238" s="24"/>
      <c r="T238" s="24"/>
      <c r="U238" s="24"/>
      <c r="V238" s="24" t="s">
        <v>283</v>
      </c>
      <c r="W238" s="24"/>
      <c r="X238" s="24"/>
      <c r="Y238" s="24"/>
      <c r="Z238" s="24"/>
      <c r="AA238" s="24"/>
      <c r="AB238" s="13" t="s">
        <v>4</v>
      </c>
      <c r="AC238" s="12" t="s">
        <v>2511</v>
      </c>
      <c r="AD238" s="24" t="s">
        <v>3733</v>
      </c>
      <c r="AE238" s="12">
        <v>998560</v>
      </c>
      <c r="AF238" s="13" t="s">
        <v>284</v>
      </c>
      <c r="AG238" s="13" t="s">
        <v>3734</v>
      </c>
      <c r="AH238" s="13" t="s">
        <v>286</v>
      </c>
      <c r="AI238" s="24" t="s">
        <v>287</v>
      </c>
      <c r="AJ238" s="24">
        <v>282</v>
      </c>
      <c r="AK238" s="24" t="s">
        <v>3735</v>
      </c>
      <c r="AL238" s="24" t="s">
        <v>3736</v>
      </c>
      <c r="AM238" s="24" t="s">
        <v>3737</v>
      </c>
      <c r="AN238" s="24">
        <v>44793</v>
      </c>
      <c r="AO238" s="24" t="s">
        <v>2511</v>
      </c>
      <c r="AP238" s="24">
        <v>998566</v>
      </c>
      <c r="AQ238" s="24" t="s">
        <v>2113</v>
      </c>
      <c r="AR238" s="24" t="s">
        <v>291</v>
      </c>
      <c r="AS238" s="24" t="s">
        <v>291</v>
      </c>
      <c r="AT238" s="24"/>
    </row>
    <row r="239" spans="1:46" s="23" customFormat="1" ht="15" customHeight="1">
      <c r="A239" s="11">
        <v>237</v>
      </c>
      <c r="B239" s="12">
        <v>5775</v>
      </c>
      <c r="C239" s="12" t="s">
        <v>271</v>
      </c>
      <c r="D239" s="18" t="s">
        <v>206</v>
      </c>
      <c r="E239" s="13" t="s">
        <v>3738</v>
      </c>
      <c r="F239" s="11" t="s">
        <v>3739</v>
      </c>
      <c r="G239" s="12" t="s">
        <v>3740</v>
      </c>
      <c r="H239" s="24" t="s">
        <v>3579</v>
      </c>
      <c r="I239" s="13" t="s">
        <v>3741</v>
      </c>
      <c r="J239" s="13" t="s">
        <v>3742</v>
      </c>
      <c r="K239" s="24" t="s">
        <v>3743</v>
      </c>
      <c r="L239" s="29" t="s">
        <v>3744</v>
      </c>
      <c r="M239" s="13" t="s">
        <v>248</v>
      </c>
      <c r="N239" s="13" t="s">
        <v>3745</v>
      </c>
      <c r="O239" s="13" t="s">
        <v>3</v>
      </c>
      <c r="P239" s="12" t="s">
        <v>3746</v>
      </c>
      <c r="Q239" s="24" t="s">
        <v>3747</v>
      </c>
      <c r="R239" s="12">
        <v>85043</v>
      </c>
      <c r="S239" s="13" t="s">
        <v>3</v>
      </c>
      <c r="T239" s="12" t="s">
        <v>3746</v>
      </c>
      <c r="U239" s="24" t="s">
        <v>3747</v>
      </c>
      <c r="V239" s="12">
        <v>85043</v>
      </c>
      <c r="W239" s="13" t="s">
        <v>3587</v>
      </c>
      <c r="X239" s="13" t="s">
        <v>3748</v>
      </c>
      <c r="Y239" s="13" t="s">
        <v>3589</v>
      </c>
      <c r="Z239" s="24" t="s">
        <v>3590</v>
      </c>
      <c r="AA239" s="24" t="s">
        <v>3749</v>
      </c>
      <c r="AB239" s="24"/>
      <c r="AC239" s="24"/>
      <c r="AD239" s="24"/>
      <c r="AE239" s="24" t="s">
        <v>321</v>
      </c>
      <c r="AF239" s="24"/>
      <c r="AG239" s="24"/>
      <c r="AH239" s="24"/>
      <c r="AI239" s="24"/>
      <c r="AJ239" s="24"/>
      <c r="AK239" s="24" t="s">
        <v>322</v>
      </c>
      <c r="AL239" s="24" t="s">
        <v>3750</v>
      </c>
      <c r="AM239" s="24" t="s">
        <v>3751</v>
      </c>
      <c r="AN239" s="24">
        <v>44313</v>
      </c>
      <c r="AO239" s="24" t="s">
        <v>3752</v>
      </c>
      <c r="AP239" s="24">
        <v>85044</v>
      </c>
      <c r="AQ239" s="24" t="s">
        <v>3610</v>
      </c>
      <c r="AR239" s="24" t="s">
        <v>291</v>
      </c>
      <c r="AS239" s="24" t="s">
        <v>291</v>
      </c>
      <c r="AT239" s="24"/>
    </row>
    <row r="240" spans="1:46" s="23" customFormat="1" ht="15" customHeight="1">
      <c r="A240" s="11">
        <v>238</v>
      </c>
      <c r="B240" s="12">
        <v>8423</v>
      </c>
      <c r="C240" s="12"/>
      <c r="D240" s="18" t="s">
        <v>3753</v>
      </c>
      <c r="E240" s="13" t="s">
        <v>3754</v>
      </c>
      <c r="F240" s="11" t="s">
        <v>3755</v>
      </c>
      <c r="G240" s="12" t="s">
        <v>3756</v>
      </c>
      <c r="H240" s="24" t="s">
        <v>3579</v>
      </c>
      <c r="I240" s="11" t="s">
        <v>3757</v>
      </c>
      <c r="J240" s="11" t="s">
        <v>3758</v>
      </c>
      <c r="K240" s="24" t="s">
        <v>3759</v>
      </c>
      <c r="L240" s="11" t="s">
        <v>3760</v>
      </c>
      <c r="M240" s="13"/>
      <c r="N240" s="13" t="s">
        <v>3761</v>
      </c>
      <c r="O240" s="13" t="s">
        <v>3</v>
      </c>
      <c r="P240" s="12" t="s">
        <v>3762</v>
      </c>
      <c r="Q240" s="24" t="s">
        <v>3747</v>
      </c>
      <c r="R240" s="12">
        <v>85048</v>
      </c>
      <c r="S240" s="13" t="s">
        <v>3</v>
      </c>
      <c r="T240" s="12" t="s">
        <v>3762</v>
      </c>
      <c r="U240" s="24" t="s">
        <v>3747</v>
      </c>
      <c r="V240" s="12">
        <v>85048</v>
      </c>
      <c r="W240" s="13" t="s">
        <v>3587</v>
      </c>
      <c r="X240" s="13" t="s">
        <v>3763</v>
      </c>
      <c r="Y240" s="13" t="s">
        <v>3589</v>
      </c>
      <c r="Z240" s="24" t="s">
        <v>3590</v>
      </c>
      <c r="AA240" s="24" t="s">
        <v>3764</v>
      </c>
      <c r="AB240" s="24"/>
      <c r="AC240" s="24"/>
      <c r="AD240" s="24"/>
      <c r="AE240" s="24" t="s">
        <v>321</v>
      </c>
      <c r="AF240" s="24"/>
      <c r="AG240" s="24"/>
      <c r="AH240" s="24"/>
      <c r="AI240" s="24"/>
      <c r="AJ240" s="24"/>
      <c r="AK240" s="24" t="s">
        <v>322</v>
      </c>
      <c r="AL240" s="24" t="s">
        <v>3765</v>
      </c>
      <c r="AM240" s="24" t="s">
        <v>3766</v>
      </c>
      <c r="AN240" s="24">
        <v>39648</v>
      </c>
      <c r="AO240" s="24" t="s">
        <v>3767</v>
      </c>
      <c r="AP240" s="24">
        <v>85049</v>
      </c>
      <c r="AQ240" s="24" t="s">
        <v>3</v>
      </c>
      <c r="AR240" s="24" t="s">
        <v>291</v>
      </c>
      <c r="AS240" s="24" t="s">
        <v>291</v>
      </c>
      <c r="AT240" s="24"/>
    </row>
    <row r="241" spans="1:46" s="23" customFormat="1" ht="15" customHeight="1">
      <c r="A241" s="11">
        <v>239</v>
      </c>
      <c r="B241" s="12">
        <v>8539</v>
      </c>
      <c r="C241" s="12"/>
      <c r="D241" s="18" t="s">
        <v>3768</v>
      </c>
      <c r="E241" s="13" t="s">
        <v>3769</v>
      </c>
      <c r="F241" s="11" t="s">
        <v>3770</v>
      </c>
      <c r="G241" s="12" t="s">
        <v>3771</v>
      </c>
      <c r="H241" s="24" t="s">
        <v>3579</v>
      </c>
      <c r="I241" s="11" t="s">
        <v>3772</v>
      </c>
      <c r="J241" s="11" t="s">
        <v>3773</v>
      </c>
      <c r="K241" s="24" t="s">
        <v>3774</v>
      </c>
      <c r="L241" s="11" t="s">
        <v>3775</v>
      </c>
      <c r="M241" s="13"/>
      <c r="N241" s="13" t="s">
        <v>3776</v>
      </c>
      <c r="O241" s="13" t="s">
        <v>3</v>
      </c>
      <c r="P241" s="12" t="s">
        <v>3777</v>
      </c>
      <c r="Q241" s="24" t="s">
        <v>3778</v>
      </c>
      <c r="R241" s="12">
        <v>81686</v>
      </c>
      <c r="S241" s="13" t="s">
        <v>3</v>
      </c>
      <c r="T241" s="12" t="s">
        <v>3777</v>
      </c>
      <c r="U241" s="24" t="s">
        <v>3778</v>
      </c>
      <c r="V241" s="12">
        <v>81686</v>
      </c>
      <c r="W241" s="13" t="s">
        <v>3587</v>
      </c>
      <c r="X241" s="13" t="s">
        <v>3779</v>
      </c>
      <c r="Y241" s="13" t="s">
        <v>3589</v>
      </c>
      <c r="Z241" s="24" t="s">
        <v>3590</v>
      </c>
      <c r="AA241" s="24" t="s">
        <v>3780</v>
      </c>
      <c r="AB241" s="24"/>
      <c r="AC241" s="24"/>
      <c r="AD241" s="24"/>
      <c r="AE241" s="24" t="s">
        <v>321</v>
      </c>
      <c r="AF241" s="24"/>
      <c r="AG241" s="24"/>
      <c r="AH241" s="24"/>
      <c r="AI241" s="24"/>
      <c r="AJ241" s="24"/>
      <c r="AK241" s="24" t="s">
        <v>322</v>
      </c>
      <c r="AL241" s="24" t="s">
        <v>3781</v>
      </c>
      <c r="AM241" s="24" t="s">
        <v>3782</v>
      </c>
      <c r="AN241" s="24">
        <v>32403</v>
      </c>
      <c r="AO241" s="24" t="s">
        <v>3783</v>
      </c>
      <c r="AP241" s="24">
        <v>81687</v>
      </c>
      <c r="AQ241" s="24" t="s">
        <v>3610</v>
      </c>
      <c r="AR241" s="24" t="s">
        <v>291</v>
      </c>
      <c r="AS241" s="24" t="s">
        <v>291</v>
      </c>
      <c r="AT241" s="24"/>
    </row>
    <row r="242" spans="1:46" s="23" customFormat="1" ht="15" customHeight="1">
      <c r="A242" s="11">
        <v>240</v>
      </c>
      <c r="B242" s="12">
        <v>8984</v>
      </c>
      <c r="C242" s="12" t="s">
        <v>271</v>
      </c>
      <c r="D242" s="18" t="s">
        <v>192</v>
      </c>
      <c r="E242" s="13" t="s">
        <v>3784</v>
      </c>
      <c r="F242" s="11" t="s">
        <v>3785</v>
      </c>
      <c r="G242" s="12" t="s">
        <v>3786</v>
      </c>
      <c r="H242" s="24" t="s">
        <v>3579</v>
      </c>
      <c r="I242" s="13" t="s">
        <v>3787</v>
      </c>
      <c r="J242" s="13" t="s">
        <v>3788</v>
      </c>
      <c r="K242" s="24" t="s">
        <v>3789</v>
      </c>
      <c r="L242" s="29" t="s">
        <v>3790</v>
      </c>
      <c r="M242" s="13" t="s">
        <v>248</v>
      </c>
      <c r="N242" s="13" t="s">
        <v>3791</v>
      </c>
      <c r="O242" s="13" t="s">
        <v>4</v>
      </c>
      <c r="P242" s="12" t="s">
        <v>3792</v>
      </c>
      <c r="Q242" s="24" t="s">
        <v>3778</v>
      </c>
      <c r="R242" s="12">
        <v>912880</v>
      </c>
      <c r="S242" s="24"/>
      <c r="T242" s="24"/>
      <c r="U242" s="24"/>
      <c r="V242" s="24" t="s">
        <v>283</v>
      </c>
      <c r="W242" s="24"/>
      <c r="X242" s="24"/>
      <c r="Y242" s="24"/>
      <c r="Z242" s="24"/>
      <c r="AA242" s="24"/>
      <c r="AB242" s="13" t="s">
        <v>4</v>
      </c>
      <c r="AC242" s="12" t="s">
        <v>3792</v>
      </c>
      <c r="AD242" s="24" t="s">
        <v>3778</v>
      </c>
      <c r="AE242" s="12">
        <v>912880</v>
      </c>
      <c r="AF242" s="13" t="s">
        <v>284</v>
      </c>
      <c r="AG242" s="13" t="s">
        <v>3793</v>
      </c>
      <c r="AH242" s="13" t="s">
        <v>286</v>
      </c>
      <c r="AI242" s="24" t="s">
        <v>287</v>
      </c>
      <c r="AJ242" s="24">
        <v>104</v>
      </c>
      <c r="AK242" s="24" t="s">
        <v>3794</v>
      </c>
      <c r="AL242" s="24" t="s">
        <v>3795</v>
      </c>
      <c r="AM242" s="24" t="s">
        <v>3796</v>
      </c>
      <c r="AN242" s="24">
        <v>39091</v>
      </c>
      <c r="AO242" s="24" t="s">
        <v>3792</v>
      </c>
      <c r="AP242" s="24">
        <v>912886</v>
      </c>
      <c r="AQ242" s="24" t="s">
        <v>2113</v>
      </c>
      <c r="AR242" s="24" t="s">
        <v>291</v>
      </c>
      <c r="AS242" s="24" t="s">
        <v>291</v>
      </c>
      <c r="AT242" s="24"/>
    </row>
    <row r="243" spans="1:46" s="23" customFormat="1" ht="15" customHeight="1">
      <c r="A243" s="11">
        <v>241</v>
      </c>
      <c r="B243" s="12">
        <v>8634</v>
      </c>
      <c r="C243" s="12" t="s">
        <v>271</v>
      </c>
      <c r="D243" s="18" t="s">
        <v>3797</v>
      </c>
      <c r="E243" s="13" t="s">
        <v>3798</v>
      </c>
      <c r="F243" s="11" t="s">
        <v>3799</v>
      </c>
      <c r="G243" s="12" t="s">
        <v>3800</v>
      </c>
      <c r="H243" s="24" t="s">
        <v>3579</v>
      </c>
      <c r="I243" s="13" t="s">
        <v>3801</v>
      </c>
      <c r="J243" s="13" t="s">
        <v>3802</v>
      </c>
      <c r="K243" s="24" t="s">
        <v>3803</v>
      </c>
      <c r="L243" s="13" t="s">
        <v>3804</v>
      </c>
      <c r="M243" s="13"/>
      <c r="N243" s="13" t="s">
        <v>3805</v>
      </c>
      <c r="O243" s="13" t="s">
        <v>3</v>
      </c>
      <c r="P243" s="12" t="s">
        <v>3806</v>
      </c>
      <c r="Q243" s="24" t="s">
        <v>3778</v>
      </c>
      <c r="R243" s="12">
        <v>81660</v>
      </c>
      <c r="S243" s="13" t="s">
        <v>3</v>
      </c>
      <c r="T243" s="12" t="s">
        <v>3806</v>
      </c>
      <c r="U243" s="24" t="s">
        <v>3778</v>
      </c>
      <c r="V243" s="12">
        <v>81660</v>
      </c>
      <c r="W243" s="13" t="s">
        <v>3587</v>
      </c>
      <c r="X243" s="13" t="s">
        <v>3807</v>
      </c>
      <c r="Y243" s="13" t="s">
        <v>3589</v>
      </c>
      <c r="Z243" s="24" t="s">
        <v>3590</v>
      </c>
      <c r="AA243" s="24" t="s">
        <v>3808</v>
      </c>
      <c r="AB243" s="24"/>
      <c r="AC243" s="24"/>
      <c r="AD243" s="24"/>
      <c r="AE243" s="24" t="s">
        <v>321</v>
      </c>
      <c r="AF243" s="24"/>
      <c r="AG243" s="24"/>
      <c r="AH243" s="24"/>
      <c r="AI243" s="24"/>
      <c r="AJ243" s="24"/>
      <c r="AK243" s="24" t="s">
        <v>322</v>
      </c>
      <c r="AL243" s="24" t="s">
        <v>3809</v>
      </c>
      <c r="AM243" s="24" t="s">
        <v>3810</v>
      </c>
      <c r="AN243" s="24">
        <v>27245</v>
      </c>
      <c r="AO243" s="24" t="s">
        <v>3811</v>
      </c>
      <c r="AP243" s="24">
        <v>81665</v>
      </c>
      <c r="AQ243" s="24" t="s">
        <v>3610</v>
      </c>
      <c r="AR243" s="24" t="s">
        <v>291</v>
      </c>
      <c r="AS243" s="24" t="s">
        <v>291</v>
      </c>
      <c r="AT243" s="24"/>
    </row>
    <row r="244" spans="1:46" s="23" customFormat="1" ht="15" customHeight="1">
      <c r="A244" s="11">
        <v>242</v>
      </c>
      <c r="B244" s="12">
        <v>9330</v>
      </c>
      <c r="C244" s="12" t="s">
        <v>271</v>
      </c>
      <c r="D244" s="18" t="s">
        <v>198</v>
      </c>
      <c r="E244" s="13" t="s">
        <v>3812</v>
      </c>
      <c r="F244" s="11" t="s">
        <v>3813</v>
      </c>
      <c r="G244" s="12" t="s">
        <v>3814</v>
      </c>
      <c r="H244" s="24" t="s">
        <v>3579</v>
      </c>
      <c r="I244" s="13" t="s">
        <v>3815</v>
      </c>
      <c r="J244" s="13" t="s">
        <v>3816</v>
      </c>
      <c r="K244" s="24" t="s">
        <v>3817</v>
      </c>
      <c r="L244" s="13" t="s">
        <v>3818</v>
      </c>
      <c r="M244" s="13"/>
      <c r="N244" s="13" t="s">
        <v>3819</v>
      </c>
      <c r="O244" s="13" t="s">
        <v>4</v>
      </c>
      <c r="P244" s="12" t="s">
        <v>3647</v>
      </c>
      <c r="Q244" s="24" t="s">
        <v>3778</v>
      </c>
      <c r="R244" s="12">
        <v>911140</v>
      </c>
      <c r="S244" s="24"/>
      <c r="T244" s="24"/>
      <c r="U244" s="24"/>
      <c r="V244" s="24" t="s">
        <v>283</v>
      </c>
      <c r="W244" s="24"/>
      <c r="X244" s="24"/>
      <c r="Y244" s="24"/>
      <c r="Z244" s="24"/>
      <c r="AA244" s="24"/>
      <c r="AB244" s="13" t="s">
        <v>4</v>
      </c>
      <c r="AC244" s="12" t="s">
        <v>3647</v>
      </c>
      <c r="AD244" s="24" t="s">
        <v>3778</v>
      </c>
      <c r="AE244" s="12">
        <v>911140</v>
      </c>
      <c r="AF244" s="13" t="s">
        <v>284</v>
      </c>
      <c r="AG244" s="13" t="s">
        <v>3820</v>
      </c>
      <c r="AH244" s="13" t="s">
        <v>286</v>
      </c>
      <c r="AI244" s="24" t="s">
        <v>287</v>
      </c>
      <c r="AJ244" s="24">
        <v>103</v>
      </c>
      <c r="AK244" s="24" t="s">
        <v>3821</v>
      </c>
      <c r="AL244" s="24" t="s">
        <v>3822</v>
      </c>
      <c r="AM244" s="24" t="s">
        <v>3823</v>
      </c>
      <c r="AN244" s="24">
        <v>37138</v>
      </c>
      <c r="AO244" s="24" t="s">
        <v>3647</v>
      </c>
      <c r="AP244" s="24">
        <v>911146</v>
      </c>
      <c r="AQ244" s="24" t="s">
        <v>2113</v>
      </c>
      <c r="AR244" s="24" t="s">
        <v>291</v>
      </c>
      <c r="AS244" s="24" t="s">
        <v>291</v>
      </c>
      <c r="AT244" s="24"/>
    </row>
    <row r="245" spans="1:46" s="23" customFormat="1" ht="15" customHeight="1">
      <c r="A245" s="11">
        <v>243</v>
      </c>
      <c r="B245" s="12">
        <v>8908</v>
      </c>
      <c r="C245" s="12" t="s">
        <v>271</v>
      </c>
      <c r="D245" s="18" t="s">
        <v>193</v>
      </c>
      <c r="E245" s="13" t="s">
        <v>3824</v>
      </c>
      <c r="F245" s="11" t="s">
        <v>3825</v>
      </c>
      <c r="G245" s="12" t="s">
        <v>3826</v>
      </c>
      <c r="H245" s="24" t="s">
        <v>3579</v>
      </c>
      <c r="I245" s="13" t="s">
        <v>3827</v>
      </c>
      <c r="J245" s="13" t="s">
        <v>3828</v>
      </c>
      <c r="K245" s="24" t="s">
        <v>3829</v>
      </c>
      <c r="L245" s="29" t="s">
        <v>3830</v>
      </c>
      <c r="M245" s="13" t="s">
        <v>248</v>
      </c>
      <c r="N245" s="13" t="s">
        <v>3831</v>
      </c>
      <c r="O245" s="13" t="s">
        <v>3</v>
      </c>
      <c r="P245" s="12" t="s">
        <v>3832</v>
      </c>
      <c r="Q245" s="24" t="s">
        <v>3691</v>
      </c>
      <c r="R245" s="12">
        <v>80217</v>
      </c>
      <c r="S245" s="13" t="s">
        <v>3</v>
      </c>
      <c r="T245" s="12" t="s">
        <v>3832</v>
      </c>
      <c r="U245" s="24" t="s">
        <v>3691</v>
      </c>
      <c r="V245" s="12">
        <v>80217</v>
      </c>
      <c r="W245" s="13" t="s">
        <v>3587</v>
      </c>
      <c r="X245" s="13" t="s">
        <v>3833</v>
      </c>
      <c r="Y245" s="13" t="s">
        <v>3589</v>
      </c>
      <c r="Z245" s="24" t="s">
        <v>3590</v>
      </c>
      <c r="AA245" s="24" t="s">
        <v>3834</v>
      </c>
      <c r="AB245" s="24"/>
      <c r="AC245" s="24"/>
      <c r="AD245" s="24"/>
      <c r="AE245" s="24" t="s">
        <v>321</v>
      </c>
      <c r="AF245" s="24"/>
      <c r="AG245" s="24"/>
      <c r="AH245" s="24"/>
      <c r="AI245" s="24"/>
      <c r="AJ245" s="24"/>
      <c r="AK245" s="24" t="s">
        <v>322</v>
      </c>
      <c r="AL245" s="24" t="s">
        <v>3835</v>
      </c>
      <c r="AM245" s="24" t="s">
        <v>3836</v>
      </c>
      <c r="AN245" s="24">
        <v>41238</v>
      </c>
      <c r="AO245" s="24" t="s">
        <v>3837</v>
      </c>
      <c r="AP245" s="24">
        <v>80218</v>
      </c>
      <c r="AQ245" s="24" t="s">
        <v>3610</v>
      </c>
      <c r="AR245" s="24" t="s">
        <v>291</v>
      </c>
      <c r="AS245" s="24" t="s">
        <v>291</v>
      </c>
      <c r="AT245" s="24"/>
    </row>
    <row r="246" spans="1:46" s="23" customFormat="1" ht="15" customHeight="1">
      <c r="A246" s="11">
        <v>244</v>
      </c>
      <c r="B246" s="12">
        <v>8977</v>
      </c>
      <c r="C246" s="12" t="s">
        <v>271</v>
      </c>
      <c r="D246" s="18" t="s">
        <v>194</v>
      </c>
      <c r="E246" s="13" t="s">
        <v>3838</v>
      </c>
      <c r="F246" s="11" t="s">
        <v>3839</v>
      </c>
      <c r="G246" s="12" t="s">
        <v>3840</v>
      </c>
      <c r="H246" s="24" t="s">
        <v>3579</v>
      </c>
      <c r="I246" s="13" t="s">
        <v>3841</v>
      </c>
      <c r="J246" s="13" t="s">
        <v>3842</v>
      </c>
      <c r="K246" s="24" t="s">
        <v>3843</v>
      </c>
      <c r="L246" s="29" t="s">
        <v>3844</v>
      </c>
      <c r="M246" s="13" t="s">
        <v>248</v>
      </c>
      <c r="N246" s="13" t="s">
        <v>3845</v>
      </c>
      <c r="O246" s="13" t="s">
        <v>4</v>
      </c>
      <c r="P246" s="12" t="s">
        <v>3846</v>
      </c>
      <c r="Q246" s="24" t="s">
        <v>3691</v>
      </c>
      <c r="R246" s="12">
        <v>916340</v>
      </c>
      <c r="S246" s="24"/>
      <c r="T246" s="24"/>
      <c r="U246" s="24"/>
      <c r="V246" s="24" t="s">
        <v>283</v>
      </c>
      <c r="W246" s="24"/>
      <c r="X246" s="24"/>
      <c r="Y246" s="24"/>
      <c r="Z246" s="24"/>
      <c r="AA246" s="24"/>
      <c r="AB246" s="13" t="s">
        <v>4</v>
      </c>
      <c r="AC246" s="12" t="s">
        <v>3846</v>
      </c>
      <c r="AD246" s="24" t="s">
        <v>3691</v>
      </c>
      <c r="AE246" s="12">
        <v>916340</v>
      </c>
      <c r="AF246" s="13" t="s">
        <v>284</v>
      </c>
      <c r="AG246" s="13" t="s">
        <v>3847</v>
      </c>
      <c r="AH246" s="13" t="s">
        <v>286</v>
      </c>
      <c r="AI246" s="24" t="s">
        <v>287</v>
      </c>
      <c r="AJ246" s="24">
        <v>180</v>
      </c>
      <c r="AK246" s="24" t="s">
        <v>3848</v>
      </c>
      <c r="AL246" s="24" t="s">
        <v>3849</v>
      </c>
      <c r="AM246" s="24" t="s">
        <v>3850</v>
      </c>
      <c r="AN246" s="24">
        <v>42953</v>
      </c>
      <c r="AO246" s="25" t="s">
        <v>532</v>
      </c>
      <c r="AP246" s="24">
        <v>916346</v>
      </c>
      <c r="AQ246" s="24" t="s">
        <v>2113</v>
      </c>
      <c r="AR246" s="24" t="s">
        <v>291</v>
      </c>
      <c r="AS246" s="24" t="s">
        <v>291</v>
      </c>
      <c r="AT246" s="24" t="s">
        <v>3348</v>
      </c>
    </row>
    <row r="247" spans="1:46" s="23" customFormat="1" ht="15" customHeight="1">
      <c r="A247" s="11">
        <v>245</v>
      </c>
      <c r="B247" s="12">
        <v>9322</v>
      </c>
      <c r="C247" s="12" t="s">
        <v>271</v>
      </c>
      <c r="D247" s="18" t="s">
        <v>195</v>
      </c>
      <c r="E247" s="13" t="s">
        <v>3851</v>
      </c>
      <c r="F247" s="11" t="s">
        <v>3852</v>
      </c>
      <c r="G247" s="12" t="s">
        <v>3853</v>
      </c>
      <c r="H247" s="24" t="s">
        <v>3579</v>
      </c>
      <c r="I247" s="13" t="s">
        <v>3854</v>
      </c>
      <c r="J247" s="13" t="s">
        <v>3855</v>
      </c>
      <c r="K247" s="24" t="s">
        <v>3856</v>
      </c>
      <c r="L247" s="29" t="s">
        <v>3857</v>
      </c>
      <c r="M247" s="13" t="s">
        <v>248</v>
      </c>
      <c r="N247" s="13" t="s">
        <v>3858</v>
      </c>
      <c r="O247" s="13" t="s">
        <v>4</v>
      </c>
      <c r="P247" s="12" t="s">
        <v>3859</v>
      </c>
      <c r="Q247" s="24" t="s">
        <v>3860</v>
      </c>
      <c r="R247" s="12">
        <v>961580</v>
      </c>
      <c r="S247" s="24"/>
      <c r="T247" s="24"/>
      <c r="U247" s="24"/>
      <c r="V247" s="24" t="s">
        <v>283</v>
      </c>
      <c r="W247" s="24"/>
      <c r="X247" s="24"/>
      <c r="Y247" s="24"/>
      <c r="Z247" s="24"/>
      <c r="AA247" s="24"/>
      <c r="AB247" s="13" t="s">
        <v>4</v>
      </c>
      <c r="AC247" s="12" t="s">
        <v>3859</v>
      </c>
      <c r="AD247" s="24" t="s">
        <v>3860</v>
      </c>
      <c r="AE247" s="12">
        <v>961580</v>
      </c>
      <c r="AF247" s="13" t="s">
        <v>284</v>
      </c>
      <c r="AG247" s="13" t="s">
        <v>3861</v>
      </c>
      <c r="AH247" s="13" t="s">
        <v>286</v>
      </c>
      <c r="AI247" s="24" t="s">
        <v>287</v>
      </c>
      <c r="AJ247" s="24">
        <v>170</v>
      </c>
      <c r="AK247" s="24" t="s">
        <v>3862</v>
      </c>
      <c r="AL247" s="24" t="s">
        <v>3863</v>
      </c>
      <c r="AM247" s="24" t="s">
        <v>3864</v>
      </c>
      <c r="AN247" s="24">
        <v>42636</v>
      </c>
      <c r="AO247" s="24" t="s">
        <v>3859</v>
      </c>
      <c r="AP247" s="24">
        <v>961586</v>
      </c>
      <c r="AQ247" s="24" t="s">
        <v>2113</v>
      </c>
      <c r="AR247" s="24" t="s">
        <v>291</v>
      </c>
      <c r="AS247" s="24" t="s">
        <v>291</v>
      </c>
      <c r="AT247" s="24"/>
    </row>
    <row r="248" spans="1:46" s="23" customFormat="1" ht="15" customHeight="1">
      <c r="A248" s="11">
        <v>246</v>
      </c>
      <c r="B248" s="12">
        <v>12111</v>
      </c>
      <c r="C248" s="12" t="s">
        <v>271</v>
      </c>
      <c r="D248" s="18" t="s">
        <v>200</v>
      </c>
      <c r="E248" s="13" t="s">
        <v>3865</v>
      </c>
      <c r="F248" s="11" t="s">
        <v>3866</v>
      </c>
      <c r="G248" s="12" t="s">
        <v>3867</v>
      </c>
      <c r="H248" s="24" t="s">
        <v>3579</v>
      </c>
      <c r="I248" s="13" t="s">
        <v>3868</v>
      </c>
      <c r="J248" s="13" t="s">
        <v>3869</v>
      </c>
      <c r="K248" s="24" t="s">
        <v>3870</v>
      </c>
      <c r="L248" s="29" t="s">
        <v>3871</v>
      </c>
      <c r="M248" s="13" t="s">
        <v>248</v>
      </c>
      <c r="N248" s="13" t="s">
        <v>3872</v>
      </c>
      <c r="O248" s="13" t="s">
        <v>4</v>
      </c>
      <c r="P248" s="12" t="s">
        <v>3873</v>
      </c>
      <c r="Q248" s="24" t="s">
        <v>3874</v>
      </c>
      <c r="R248" s="12">
        <v>997720</v>
      </c>
      <c r="S248" s="24"/>
      <c r="T248" s="24"/>
      <c r="U248" s="24"/>
      <c r="V248" s="24" t="s">
        <v>283</v>
      </c>
      <c r="W248" s="24"/>
      <c r="X248" s="24"/>
      <c r="Y248" s="24"/>
      <c r="Z248" s="24"/>
      <c r="AA248" s="24"/>
      <c r="AB248" s="13" t="s">
        <v>4</v>
      </c>
      <c r="AC248" s="12" t="s">
        <v>3873</v>
      </c>
      <c r="AD248" s="24" t="s">
        <v>3874</v>
      </c>
      <c r="AE248" s="12">
        <v>997720</v>
      </c>
      <c r="AF248" s="13" t="s">
        <v>284</v>
      </c>
      <c r="AG248" s="13" t="s">
        <v>3875</v>
      </c>
      <c r="AH248" s="13" t="s">
        <v>286</v>
      </c>
      <c r="AI248" s="24" t="s">
        <v>287</v>
      </c>
      <c r="AJ248" s="24">
        <v>292</v>
      </c>
      <c r="AK248" s="24" t="s">
        <v>3876</v>
      </c>
      <c r="AL248" s="24" t="s">
        <v>3877</v>
      </c>
      <c r="AM248" s="24" t="s">
        <v>3878</v>
      </c>
      <c r="AN248" s="24">
        <v>45631</v>
      </c>
      <c r="AO248" s="24" t="s">
        <v>3873</v>
      </c>
      <c r="AP248" s="24">
        <v>997726</v>
      </c>
      <c r="AQ248" s="24" t="s">
        <v>2113</v>
      </c>
      <c r="AR248" s="24" t="s">
        <v>291</v>
      </c>
      <c r="AS248" s="24" t="s">
        <v>291</v>
      </c>
      <c r="AT248" s="24"/>
    </row>
    <row r="249" spans="1:46" s="23" customFormat="1" ht="15" customHeight="1">
      <c r="A249" s="11">
        <v>247</v>
      </c>
      <c r="B249" s="12">
        <v>32766</v>
      </c>
      <c r="C249" s="12" t="s">
        <v>271</v>
      </c>
      <c r="D249" s="18" t="s">
        <v>205</v>
      </c>
      <c r="E249" s="13" t="s">
        <v>3879</v>
      </c>
      <c r="F249" s="11" t="s">
        <v>3880</v>
      </c>
      <c r="G249" s="12" t="s">
        <v>3881</v>
      </c>
      <c r="H249" s="24" t="s">
        <v>3579</v>
      </c>
      <c r="I249" s="13" t="s">
        <v>3882</v>
      </c>
      <c r="J249" s="13" t="s">
        <v>3883</v>
      </c>
      <c r="K249" s="24" t="s">
        <v>3884</v>
      </c>
      <c r="L249" s="13" t="s">
        <v>3885</v>
      </c>
      <c r="M249" s="13"/>
      <c r="N249" s="13" t="s">
        <v>3886</v>
      </c>
      <c r="O249" s="13" t="s">
        <v>3</v>
      </c>
      <c r="P249" s="12" t="s">
        <v>3887</v>
      </c>
      <c r="Q249" s="24" t="s">
        <v>3888</v>
      </c>
      <c r="R249" s="12">
        <v>86276</v>
      </c>
      <c r="S249" s="13" t="s">
        <v>3</v>
      </c>
      <c r="T249" s="12" t="s">
        <v>3887</v>
      </c>
      <c r="U249" s="24" t="s">
        <v>3888</v>
      </c>
      <c r="V249" s="12">
        <v>86276</v>
      </c>
      <c r="W249" s="13" t="s">
        <v>3587</v>
      </c>
      <c r="X249" s="13" t="s">
        <v>3889</v>
      </c>
      <c r="Y249" s="13" t="s">
        <v>3589</v>
      </c>
      <c r="Z249" s="24" t="s">
        <v>3590</v>
      </c>
      <c r="AA249" s="24" t="s">
        <v>3890</v>
      </c>
      <c r="AB249" s="24"/>
      <c r="AC249" s="24"/>
      <c r="AD249" s="24"/>
      <c r="AE249" s="24" t="s">
        <v>321</v>
      </c>
      <c r="AF249" s="24"/>
      <c r="AG249" s="24"/>
      <c r="AH249" s="24"/>
      <c r="AI249" s="24"/>
      <c r="AJ249" s="24"/>
      <c r="AK249" s="24" t="s">
        <v>322</v>
      </c>
      <c r="AL249" s="24" t="s">
        <v>3891</v>
      </c>
      <c r="AM249" s="24" t="s">
        <v>3892</v>
      </c>
      <c r="AN249" s="24">
        <v>46124</v>
      </c>
      <c r="AO249" s="24" t="s">
        <v>3893</v>
      </c>
      <c r="AP249" s="24">
        <v>86277</v>
      </c>
      <c r="AQ249" s="24" t="s">
        <v>3610</v>
      </c>
      <c r="AR249" s="24" t="s">
        <v>291</v>
      </c>
      <c r="AS249" s="24" t="s">
        <v>291</v>
      </c>
      <c r="AT249" s="24"/>
    </row>
    <row r="250" spans="1:46" s="23" customFormat="1">
      <c r="A250" s="19"/>
      <c r="B250" s="20"/>
      <c r="C250" s="20"/>
      <c r="D250" s="19"/>
      <c r="E250" s="19"/>
      <c r="F250" s="19"/>
      <c r="G250" s="20"/>
      <c r="I250" s="19"/>
      <c r="J250" s="19"/>
      <c r="L250" s="19"/>
      <c r="M250" s="19"/>
      <c r="N250" s="19"/>
      <c r="O250" s="19"/>
      <c r="P250" s="20"/>
      <c r="R250" s="20"/>
      <c r="S250" s="20"/>
      <c r="T250" s="20"/>
      <c r="U250" s="20"/>
      <c r="V250" s="20"/>
      <c r="W250" s="19"/>
      <c r="X250" s="19"/>
      <c r="Y250" s="19"/>
    </row>
    <row r="251" spans="1:46" s="23" customFormat="1">
      <c r="A251" s="19"/>
      <c r="B251" s="20"/>
      <c r="C251" s="20"/>
      <c r="D251" s="19"/>
      <c r="E251" s="19"/>
      <c r="F251" s="19"/>
      <c r="G251" s="20"/>
      <c r="I251" s="19"/>
      <c r="J251" s="19"/>
      <c r="L251" s="19"/>
      <c r="M251" s="19"/>
      <c r="N251" s="19"/>
      <c r="O251" s="19"/>
      <c r="P251" s="20"/>
      <c r="R251" s="20"/>
      <c r="S251" s="20"/>
      <c r="T251" s="20"/>
      <c r="U251" s="20"/>
      <c r="V251" s="20"/>
      <c r="W251" s="19"/>
      <c r="X251" s="19"/>
      <c r="Y251" s="19"/>
    </row>
    <row r="252" spans="1:46" s="23" customFormat="1">
      <c r="A252" s="19"/>
      <c r="B252" s="20"/>
      <c r="C252" s="20"/>
      <c r="D252" s="19"/>
      <c r="E252" s="19"/>
      <c r="F252" s="19"/>
      <c r="G252" s="20"/>
      <c r="I252" s="19" t="s">
        <v>3894</v>
      </c>
      <c r="J252" s="19"/>
      <c r="L252" s="19"/>
      <c r="M252" s="19"/>
      <c r="N252" s="19"/>
      <c r="O252" s="19"/>
      <c r="P252" s="20"/>
      <c r="R252" s="20"/>
      <c r="S252" s="20"/>
      <c r="T252" s="20"/>
      <c r="U252" s="20"/>
      <c r="V252" s="20"/>
      <c r="W252" s="19"/>
      <c r="X252" s="19"/>
      <c r="Y252" s="19"/>
    </row>
    <row r="253" spans="1:46" s="23" customFormat="1">
      <c r="A253" s="19"/>
      <c r="B253" s="20"/>
      <c r="C253" s="20"/>
      <c r="D253" s="19"/>
      <c r="E253" s="19"/>
      <c r="F253" s="19"/>
      <c r="G253" s="20"/>
      <c r="I253" s="19" t="s">
        <v>3895</v>
      </c>
      <c r="J253" s="19"/>
      <c r="L253" s="19"/>
      <c r="M253" s="19"/>
      <c r="N253" s="19"/>
      <c r="O253" s="19"/>
      <c r="P253" s="20"/>
      <c r="R253" s="20"/>
      <c r="S253" s="20"/>
      <c r="T253" s="20"/>
      <c r="U253" s="20"/>
      <c r="V253" s="20"/>
      <c r="W253" s="19"/>
      <c r="X253" s="19"/>
      <c r="Y253" s="19"/>
    </row>
    <row r="254" spans="1:46">
      <c r="I254" s="19" t="s">
        <v>3896</v>
      </c>
      <c r="K254" s="23"/>
      <c r="AI254" s="23"/>
      <c r="AJ254" s="23"/>
      <c r="AK254" s="23"/>
    </row>
    <row r="255" spans="1:46">
      <c r="I255" s="19" t="s">
        <v>3897</v>
      </c>
      <c r="K255" s="23"/>
      <c r="AI255" s="23"/>
      <c r="AJ255" s="23"/>
      <c r="AK255" s="23"/>
    </row>
    <row r="256" spans="1:46">
      <c r="I256" s="19" t="s">
        <v>3898</v>
      </c>
      <c r="K256" s="23"/>
      <c r="AI256" s="23"/>
      <c r="AJ256" s="23"/>
      <c r="AK256" s="23"/>
    </row>
    <row r="257" spans="11:37">
      <c r="K257" s="23"/>
      <c r="AI257" s="23"/>
      <c r="AJ257" s="23"/>
      <c r="AK257" s="23"/>
    </row>
    <row r="258" spans="11:37">
      <c r="K258" s="23"/>
      <c r="AI258" s="23"/>
      <c r="AJ258" s="23"/>
      <c r="AK258" s="23"/>
    </row>
    <row r="259" spans="11:37">
      <c r="K259" s="23"/>
      <c r="AI259" s="23"/>
      <c r="AJ259" s="23"/>
      <c r="AK259" s="23"/>
    </row>
    <row r="260" spans="11:37">
      <c r="K260" s="23"/>
      <c r="AI260" s="23"/>
      <c r="AJ260" s="23"/>
      <c r="AK260" s="23"/>
    </row>
    <row r="261" spans="11:37">
      <c r="K261" s="23"/>
      <c r="AI261" s="23"/>
      <c r="AJ261" s="23"/>
      <c r="AK261" s="23"/>
    </row>
    <row r="262" spans="11:37">
      <c r="K262" s="23"/>
      <c r="AI262" s="23"/>
      <c r="AJ262" s="23"/>
      <c r="AK262" s="23"/>
    </row>
    <row r="263" spans="11:37">
      <c r="K263" s="23"/>
      <c r="AI263" s="23"/>
      <c r="AJ263" s="23"/>
      <c r="AK263" s="23"/>
    </row>
    <row r="264" spans="11:37">
      <c r="K264" s="23"/>
      <c r="AI264" s="23"/>
      <c r="AJ264" s="23"/>
      <c r="AK264" s="23"/>
    </row>
    <row r="265" spans="11:37">
      <c r="K265" s="23"/>
      <c r="AI265" s="23"/>
      <c r="AJ265" s="23"/>
      <c r="AK265" s="23"/>
    </row>
    <row r="266" spans="11:37">
      <c r="K266" s="23"/>
      <c r="AI266" s="23"/>
      <c r="AJ266" s="23"/>
      <c r="AK266" s="23"/>
    </row>
    <row r="267" spans="11:37">
      <c r="K267" s="23"/>
      <c r="AI267" s="23"/>
      <c r="AJ267" s="23"/>
      <c r="AK267" s="23"/>
    </row>
    <row r="268" spans="11:37">
      <c r="K268" s="23"/>
      <c r="AI268" s="23"/>
      <c r="AJ268" s="23"/>
      <c r="AK268" s="23"/>
    </row>
    <row r="269" spans="11:37">
      <c r="K269" s="23"/>
      <c r="AI269" s="23"/>
      <c r="AJ269" s="23"/>
      <c r="AK269" s="23"/>
    </row>
    <row r="270" spans="11:37">
      <c r="K270" s="23"/>
      <c r="AI270" s="23"/>
      <c r="AJ270" s="23"/>
      <c r="AK270" s="23"/>
    </row>
    <row r="271" spans="11:37">
      <c r="K271" s="23"/>
      <c r="AI271" s="23"/>
      <c r="AJ271" s="23"/>
      <c r="AK271" s="23"/>
    </row>
    <row r="272" spans="11:37">
      <c r="K272" s="23"/>
      <c r="AI272" s="23"/>
      <c r="AJ272" s="23"/>
      <c r="AK272" s="23"/>
    </row>
    <row r="273" spans="11:37">
      <c r="K273" s="23"/>
      <c r="AI273" s="23"/>
      <c r="AJ273" s="23"/>
      <c r="AK273" s="23"/>
    </row>
    <row r="274" spans="11:37">
      <c r="K274" s="23"/>
      <c r="AI274" s="23"/>
      <c r="AJ274" s="23"/>
      <c r="AK274" s="23"/>
    </row>
    <row r="275" spans="11:37">
      <c r="K275" s="23"/>
      <c r="AI275" s="23"/>
      <c r="AJ275" s="23"/>
      <c r="AK275" s="23"/>
    </row>
    <row r="276" spans="11:37">
      <c r="K276" s="23"/>
      <c r="AI276" s="23"/>
      <c r="AJ276" s="23"/>
      <c r="AK276" s="23"/>
    </row>
    <row r="277" spans="11:37">
      <c r="K277" s="23"/>
      <c r="AI277" s="23"/>
      <c r="AJ277" s="23"/>
      <c r="AK277" s="23"/>
    </row>
    <row r="278" spans="11:37">
      <c r="K278" s="23"/>
      <c r="AI278" s="23"/>
      <c r="AJ278" s="23"/>
      <c r="AK278" s="23"/>
    </row>
    <row r="279" spans="11:37">
      <c r="K279" s="23"/>
      <c r="AI279" s="23"/>
      <c r="AJ279" s="23"/>
      <c r="AK279" s="23"/>
    </row>
    <row r="280" spans="11:37">
      <c r="K280" s="23"/>
      <c r="AI280" s="23"/>
      <c r="AJ280" s="23"/>
      <c r="AK280" s="23"/>
    </row>
    <row r="281" spans="11:37">
      <c r="K281" s="23"/>
      <c r="AI281" s="23"/>
      <c r="AJ281" s="23"/>
      <c r="AK281" s="23"/>
    </row>
    <row r="282" spans="11:37">
      <c r="K282" s="23"/>
      <c r="AI282" s="23"/>
      <c r="AJ282" s="23"/>
      <c r="AK282" s="23"/>
    </row>
    <row r="283" spans="11:37">
      <c r="K283" s="23"/>
      <c r="AI283" s="23"/>
      <c r="AJ283" s="23"/>
      <c r="AK283" s="23"/>
    </row>
    <row r="284" spans="11:37">
      <c r="K284" s="23"/>
      <c r="AI284" s="23"/>
      <c r="AJ284" s="23"/>
      <c r="AK284" s="23"/>
    </row>
    <row r="285" spans="11:37">
      <c r="K285" s="23"/>
      <c r="AI285" s="23"/>
      <c r="AJ285" s="23"/>
      <c r="AK285" s="23"/>
    </row>
    <row r="286" spans="11:37">
      <c r="K286" s="23"/>
      <c r="AI286" s="23"/>
      <c r="AJ286" s="23"/>
      <c r="AK286" s="23"/>
    </row>
    <row r="287" spans="11:37">
      <c r="K287" s="23"/>
      <c r="AI287" s="23"/>
      <c r="AJ287" s="23"/>
      <c r="AK287" s="23"/>
    </row>
    <row r="288" spans="11:37">
      <c r="K288" s="23"/>
      <c r="AI288" s="23"/>
      <c r="AJ288" s="23"/>
      <c r="AK288" s="23"/>
    </row>
    <row r="289" spans="11:37">
      <c r="K289" s="23"/>
      <c r="AI289" s="23"/>
      <c r="AJ289" s="23"/>
      <c r="AK289" s="23"/>
    </row>
    <row r="290" spans="11:37">
      <c r="K290" s="23"/>
      <c r="AI290" s="23"/>
      <c r="AJ290" s="23"/>
      <c r="AK290" s="23"/>
    </row>
    <row r="291" spans="11:37">
      <c r="K291" s="23"/>
      <c r="AI291" s="23"/>
      <c r="AJ291" s="23"/>
      <c r="AK291" s="23"/>
    </row>
    <row r="292" spans="11:37">
      <c r="K292" s="23"/>
      <c r="AI292" s="23"/>
      <c r="AJ292" s="23"/>
      <c r="AK292" s="23"/>
    </row>
    <row r="293" spans="11:37">
      <c r="K293" s="23"/>
      <c r="AI293" s="23"/>
      <c r="AJ293" s="23"/>
      <c r="AK293" s="23"/>
    </row>
    <row r="294" spans="11:37">
      <c r="K294" s="23"/>
      <c r="AI294" s="23"/>
      <c r="AJ294" s="23"/>
      <c r="AK294" s="23"/>
    </row>
    <row r="295" spans="11:37">
      <c r="K295" s="23"/>
      <c r="AI295" s="23"/>
      <c r="AJ295" s="23"/>
      <c r="AK295" s="23"/>
    </row>
    <row r="296" spans="11:37">
      <c r="K296" s="23"/>
      <c r="AI296" s="23"/>
      <c r="AJ296" s="23"/>
      <c r="AK296" s="23"/>
    </row>
    <row r="297" spans="11:37">
      <c r="K297" s="23"/>
      <c r="AI297" s="23"/>
      <c r="AJ297" s="23"/>
      <c r="AK297" s="23"/>
    </row>
    <row r="298" spans="11:37">
      <c r="K298" s="23"/>
      <c r="AI298" s="23"/>
      <c r="AJ298" s="23"/>
      <c r="AK298" s="23"/>
    </row>
    <row r="299" spans="11:37">
      <c r="K299" s="23"/>
      <c r="AI299" s="23"/>
      <c r="AJ299" s="23"/>
      <c r="AK299" s="23"/>
    </row>
    <row r="300" spans="11:37">
      <c r="K300" s="23"/>
      <c r="AI300" s="23"/>
      <c r="AJ300" s="23"/>
      <c r="AK300" s="23"/>
    </row>
    <row r="301" spans="11:37">
      <c r="K301" s="23"/>
      <c r="AI301" s="23"/>
      <c r="AJ301" s="23"/>
      <c r="AK301" s="23"/>
    </row>
    <row r="302" spans="11:37">
      <c r="K302" s="23"/>
      <c r="AI302" s="23"/>
      <c r="AJ302" s="23"/>
      <c r="AK302" s="23"/>
    </row>
    <row r="303" spans="11:37">
      <c r="K303" s="23"/>
      <c r="AI303" s="23"/>
      <c r="AJ303" s="23"/>
      <c r="AK303" s="23"/>
    </row>
    <row r="304" spans="11:37">
      <c r="K304" s="23"/>
      <c r="AI304" s="23"/>
      <c r="AJ304" s="23"/>
      <c r="AK304" s="23"/>
    </row>
    <row r="305" spans="11:37">
      <c r="K305" s="23"/>
      <c r="AI305" s="23"/>
      <c r="AJ305" s="23"/>
      <c r="AK305" s="23"/>
    </row>
    <row r="306" spans="11:37">
      <c r="K306" s="23"/>
      <c r="AI306" s="23"/>
      <c r="AJ306" s="23"/>
      <c r="AK306" s="23"/>
    </row>
    <row r="307" spans="11:37">
      <c r="K307" s="23"/>
      <c r="AI307" s="23"/>
      <c r="AJ307" s="23"/>
      <c r="AK307" s="23"/>
    </row>
    <row r="308" spans="11:37">
      <c r="K308" s="23"/>
      <c r="AI308" s="23"/>
      <c r="AJ308" s="23"/>
      <c r="AK308" s="23"/>
    </row>
    <row r="309" spans="11:37">
      <c r="K309" s="23"/>
      <c r="AI309" s="23"/>
      <c r="AJ309" s="23"/>
      <c r="AK309" s="23"/>
    </row>
    <row r="310" spans="11:37">
      <c r="K310" s="23"/>
      <c r="AI310" s="23"/>
      <c r="AJ310" s="23"/>
      <c r="AK310" s="23"/>
    </row>
    <row r="311" spans="11:37">
      <c r="K311" s="23"/>
      <c r="AI311" s="23"/>
      <c r="AJ311" s="23"/>
      <c r="AK311" s="23"/>
    </row>
    <row r="312" spans="11:37">
      <c r="K312" s="23"/>
      <c r="AI312" s="23"/>
      <c r="AJ312" s="23"/>
      <c r="AK312" s="23"/>
    </row>
    <row r="313" spans="11:37">
      <c r="K313" s="23"/>
      <c r="AI313" s="23"/>
      <c r="AJ313" s="23"/>
      <c r="AK313" s="23"/>
    </row>
    <row r="314" spans="11:37">
      <c r="K314" s="23"/>
      <c r="AI314" s="23"/>
      <c r="AJ314" s="23"/>
      <c r="AK314" s="23"/>
    </row>
    <row r="315" spans="11:37">
      <c r="K315" s="23"/>
      <c r="AI315" s="23"/>
      <c r="AJ315" s="23"/>
      <c r="AK315" s="23"/>
    </row>
    <row r="316" spans="11:37">
      <c r="K316" s="23"/>
      <c r="AI316" s="23"/>
      <c r="AJ316" s="23"/>
      <c r="AK316" s="23"/>
    </row>
    <row r="317" spans="11:37">
      <c r="K317" s="23"/>
      <c r="AI317" s="23"/>
      <c r="AJ317" s="23"/>
      <c r="AK317" s="23"/>
    </row>
    <row r="318" spans="11:37">
      <c r="K318" s="23"/>
      <c r="AI318" s="23"/>
      <c r="AJ318" s="23"/>
      <c r="AK318" s="23"/>
    </row>
    <row r="319" spans="11:37">
      <c r="K319" s="23"/>
      <c r="AI319" s="23"/>
      <c r="AJ319" s="23"/>
      <c r="AK319" s="23"/>
    </row>
    <row r="320" spans="11:37">
      <c r="K320" s="23"/>
      <c r="AI320" s="23"/>
      <c r="AJ320" s="23"/>
      <c r="AK320" s="23"/>
    </row>
    <row r="321" spans="11:37">
      <c r="K321" s="23"/>
      <c r="AI321" s="23"/>
      <c r="AJ321" s="23"/>
      <c r="AK321" s="23"/>
    </row>
    <row r="322" spans="11:37">
      <c r="K322" s="23"/>
      <c r="AI322" s="23"/>
      <c r="AJ322" s="23"/>
      <c r="AK322" s="23"/>
    </row>
    <row r="323" spans="11:37">
      <c r="K323" s="23"/>
      <c r="AI323" s="23"/>
      <c r="AJ323" s="23"/>
      <c r="AK323" s="23"/>
    </row>
    <row r="324" spans="11:37">
      <c r="K324" s="23"/>
      <c r="AI324" s="23"/>
      <c r="AJ324" s="23"/>
      <c r="AK324" s="23"/>
    </row>
    <row r="325" spans="11:37">
      <c r="K325" s="23"/>
      <c r="AI325" s="23"/>
      <c r="AJ325" s="23"/>
      <c r="AK325" s="23"/>
    </row>
    <row r="326" spans="11:37">
      <c r="K326" s="23"/>
      <c r="AI326" s="23"/>
      <c r="AJ326" s="23"/>
      <c r="AK326" s="23"/>
    </row>
    <row r="327" spans="11:37">
      <c r="K327" s="23"/>
      <c r="AI327" s="23"/>
      <c r="AJ327" s="23"/>
      <c r="AK327" s="23"/>
    </row>
    <row r="328" spans="11:37">
      <c r="K328" s="23"/>
      <c r="AI328" s="23"/>
      <c r="AJ328" s="23"/>
      <c r="AK328" s="23"/>
    </row>
    <row r="329" spans="11:37">
      <c r="K329" s="23"/>
      <c r="AI329" s="23"/>
      <c r="AJ329" s="23"/>
      <c r="AK329" s="23"/>
    </row>
    <row r="330" spans="11:37">
      <c r="K330" s="23"/>
      <c r="AI330" s="23"/>
      <c r="AJ330" s="23"/>
      <c r="AK330" s="23"/>
    </row>
    <row r="331" spans="11:37">
      <c r="K331" s="23"/>
      <c r="AI331" s="23"/>
      <c r="AJ331" s="23"/>
      <c r="AK331" s="23"/>
    </row>
    <row r="332" spans="11:37">
      <c r="K332" s="23"/>
      <c r="AI332" s="23"/>
      <c r="AJ332" s="23"/>
      <c r="AK332" s="23"/>
    </row>
    <row r="333" spans="11:37">
      <c r="K333" s="23"/>
      <c r="AI333" s="23"/>
      <c r="AJ333" s="23"/>
      <c r="AK333" s="23"/>
    </row>
    <row r="334" spans="11:37">
      <c r="K334" s="23"/>
      <c r="AI334" s="23"/>
      <c r="AJ334" s="23"/>
      <c r="AK334" s="23"/>
    </row>
    <row r="335" spans="11:37">
      <c r="K335" s="23"/>
      <c r="AI335" s="23"/>
      <c r="AJ335" s="23"/>
      <c r="AK335" s="23"/>
    </row>
    <row r="336" spans="11:37">
      <c r="K336" s="23"/>
      <c r="AI336" s="23"/>
      <c r="AJ336" s="23"/>
      <c r="AK336" s="23"/>
    </row>
    <row r="337" spans="11:37">
      <c r="K337" s="23"/>
      <c r="AI337" s="23"/>
      <c r="AJ337" s="23"/>
      <c r="AK337" s="23"/>
    </row>
    <row r="338" spans="11:37">
      <c r="K338" s="23"/>
      <c r="AI338" s="23"/>
      <c r="AJ338" s="23"/>
      <c r="AK338" s="23"/>
    </row>
    <row r="339" spans="11:37">
      <c r="K339" s="23"/>
      <c r="AI339" s="23"/>
      <c r="AJ339" s="23"/>
      <c r="AK339" s="23"/>
    </row>
    <row r="340" spans="11:37">
      <c r="K340" s="23"/>
      <c r="AI340" s="23"/>
      <c r="AJ340" s="23"/>
      <c r="AK340" s="23"/>
    </row>
    <row r="341" spans="11:37">
      <c r="K341" s="23"/>
      <c r="AI341" s="23"/>
      <c r="AJ341" s="23"/>
      <c r="AK341" s="23"/>
    </row>
    <row r="342" spans="11:37">
      <c r="K342" s="23"/>
      <c r="AI342" s="23"/>
      <c r="AJ342" s="23"/>
      <c r="AK342" s="23"/>
    </row>
    <row r="343" spans="11:37">
      <c r="K343" s="23"/>
      <c r="AI343" s="23"/>
      <c r="AJ343" s="23"/>
      <c r="AK343" s="23"/>
    </row>
    <row r="344" spans="11:37">
      <c r="K344" s="23"/>
      <c r="AI344" s="23"/>
      <c r="AJ344" s="23"/>
      <c r="AK344" s="23"/>
    </row>
    <row r="345" spans="11:37">
      <c r="K345" s="23"/>
      <c r="AI345" s="23"/>
      <c r="AJ345" s="23"/>
      <c r="AK345" s="23"/>
    </row>
    <row r="346" spans="11:37">
      <c r="K346" s="23"/>
      <c r="AI346" s="23"/>
      <c r="AJ346" s="23"/>
      <c r="AK346" s="23"/>
    </row>
    <row r="347" spans="11:37">
      <c r="K347" s="23"/>
      <c r="AI347" s="23"/>
      <c r="AJ347" s="23"/>
      <c r="AK347" s="23"/>
    </row>
    <row r="348" spans="11:37">
      <c r="K348" s="23"/>
      <c r="AI348" s="23"/>
      <c r="AJ348" s="23"/>
      <c r="AK348" s="23"/>
    </row>
    <row r="349" spans="11:37">
      <c r="K349" s="23"/>
      <c r="AI349" s="23"/>
      <c r="AJ349" s="23"/>
      <c r="AK349" s="23"/>
    </row>
    <row r="350" spans="11:37">
      <c r="K350" s="23"/>
      <c r="AI350" s="23"/>
      <c r="AJ350" s="23"/>
      <c r="AK350" s="23"/>
    </row>
    <row r="351" spans="11:37">
      <c r="K351" s="23"/>
      <c r="AI351" s="23"/>
      <c r="AJ351" s="23"/>
      <c r="AK351" s="23"/>
    </row>
    <row r="352" spans="11:37">
      <c r="K352" s="23"/>
      <c r="AI352" s="23"/>
      <c r="AJ352" s="23"/>
      <c r="AK352" s="23"/>
    </row>
    <row r="353" spans="11:37">
      <c r="K353" s="23"/>
      <c r="AI353" s="23"/>
      <c r="AJ353" s="23"/>
      <c r="AK353" s="23"/>
    </row>
    <row r="354" spans="11:37">
      <c r="K354" s="23"/>
      <c r="AI354" s="23"/>
      <c r="AJ354" s="23"/>
      <c r="AK354" s="23"/>
    </row>
    <row r="355" spans="11:37">
      <c r="K355" s="23"/>
      <c r="AI355" s="23"/>
      <c r="AJ355" s="23"/>
      <c r="AK355" s="23"/>
    </row>
    <row r="356" spans="11:37">
      <c r="K356" s="23"/>
      <c r="AI356" s="23"/>
      <c r="AJ356" s="23"/>
      <c r="AK356" s="23"/>
    </row>
    <row r="357" spans="11:37">
      <c r="K357" s="23"/>
      <c r="AI357" s="23"/>
      <c r="AJ357" s="23"/>
      <c r="AK357" s="23"/>
    </row>
    <row r="358" spans="11:37">
      <c r="K358" s="23"/>
      <c r="AI358" s="23"/>
      <c r="AJ358" s="23"/>
      <c r="AK358" s="23"/>
    </row>
    <row r="359" spans="11:37">
      <c r="K359" s="23"/>
      <c r="AI359" s="23"/>
      <c r="AJ359" s="23"/>
      <c r="AK359" s="23"/>
    </row>
    <row r="360" spans="11:37">
      <c r="K360" s="23"/>
      <c r="AI360" s="23"/>
      <c r="AJ360" s="23"/>
      <c r="AK360" s="23"/>
    </row>
    <row r="361" spans="11:37">
      <c r="K361" s="23"/>
      <c r="AI361" s="23"/>
      <c r="AJ361" s="23"/>
      <c r="AK361" s="23"/>
    </row>
    <row r="362" spans="11:37">
      <c r="K362" s="23"/>
      <c r="AI362" s="23"/>
      <c r="AJ362" s="23"/>
      <c r="AK362" s="23"/>
    </row>
    <row r="363" spans="11:37">
      <c r="K363" s="23"/>
      <c r="AI363" s="23"/>
      <c r="AJ363" s="23"/>
      <c r="AK363" s="23"/>
    </row>
    <row r="364" spans="11:37">
      <c r="K364" s="23"/>
      <c r="AI364" s="23"/>
      <c r="AJ364" s="23"/>
      <c r="AK364" s="23"/>
    </row>
    <row r="365" spans="11:37">
      <c r="K365" s="23"/>
      <c r="AI365" s="23"/>
      <c r="AJ365" s="23"/>
      <c r="AK365" s="23"/>
    </row>
    <row r="366" spans="11:37">
      <c r="K366" s="23"/>
      <c r="AI366" s="23"/>
      <c r="AJ366" s="23"/>
      <c r="AK366" s="23"/>
    </row>
    <row r="367" spans="11:37">
      <c r="K367" s="23"/>
      <c r="AI367" s="23"/>
      <c r="AJ367" s="23"/>
      <c r="AK367" s="23"/>
    </row>
    <row r="368" spans="11:37">
      <c r="K368" s="23"/>
      <c r="AI368" s="23"/>
      <c r="AJ368" s="23"/>
      <c r="AK368" s="23"/>
    </row>
    <row r="369" spans="11:37">
      <c r="K369" s="23"/>
      <c r="AI369" s="23"/>
      <c r="AJ369" s="23"/>
      <c r="AK369" s="23"/>
    </row>
    <row r="370" spans="11:37">
      <c r="K370" s="23"/>
      <c r="AI370" s="23"/>
      <c r="AJ370" s="23"/>
      <c r="AK370" s="23"/>
    </row>
    <row r="371" spans="11:37">
      <c r="K371" s="23"/>
      <c r="AI371" s="23"/>
      <c r="AJ371" s="23"/>
      <c r="AK371" s="23"/>
    </row>
    <row r="372" spans="11:37">
      <c r="K372" s="23"/>
      <c r="AI372" s="23"/>
      <c r="AJ372" s="23"/>
      <c r="AK372" s="23"/>
    </row>
    <row r="373" spans="11:37">
      <c r="K373" s="23"/>
      <c r="AI373" s="23"/>
      <c r="AJ373" s="23"/>
      <c r="AK373" s="23"/>
    </row>
    <row r="374" spans="11:37">
      <c r="K374" s="23"/>
      <c r="AI374" s="23"/>
      <c r="AJ374" s="23"/>
      <c r="AK374" s="23"/>
    </row>
    <row r="375" spans="11:37">
      <c r="K375" s="23"/>
      <c r="AI375" s="23"/>
      <c r="AJ375" s="23"/>
      <c r="AK375" s="23"/>
    </row>
    <row r="376" spans="11:37">
      <c r="K376" s="23"/>
      <c r="AI376" s="23"/>
      <c r="AJ376" s="23"/>
      <c r="AK376" s="23"/>
    </row>
    <row r="377" spans="11:37">
      <c r="K377" s="23"/>
      <c r="AI377" s="23"/>
      <c r="AJ377" s="23"/>
      <c r="AK377" s="23"/>
    </row>
    <row r="378" spans="11:37">
      <c r="K378" s="23"/>
      <c r="AI378" s="23"/>
      <c r="AJ378" s="23"/>
      <c r="AK378" s="23"/>
    </row>
    <row r="379" spans="11:37">
      <c r="K379" s="23"/>
      <c r="AI379" s="23"/>
      <c r="AJ379" s="23"/>
      <c r="AK379" s="23"/>
    </row>
    <row r="380" spans="11:37">
      <c r="K380" s="23"/>
      <c r="AI380" s="23"/>
      <c r="AJ380" s="23"/>
      <c r="AK380" s="23"/>
    </row>
    <row r="381" spans="11:37">
      <c r="K381" s="23"/>
      <c r="AI381" s="23"/>
      <c r="AJ381" s="23"/>
      <c r="AK381" s="23"/>
    </row>
    <row r="382" spans="11:37">
      <c r="K382" s="23"/>
      <c r="AI382" s="23"/>
      <c r="AJ382" s="23"/>
      <c r="AK382" s="23"/>
    </row>
    <row r="383" spans="11:37">
      <c r="K383" s="23"/>
      <c r="AI383" s="23"/>
      <c r="AJ383" s="23"/>
      <c r="AK383" s="23"/>
    </row>
    <row r="384" spans="11:37">
      <c r="K384" s="23"/>
      <c r="AI384" s="23"/>
      <c r="AJ384" s="23"/>
      <c r="AK384" s="23"/>
    </row>
    <row r="385" spans="11:37">
      <c r="K385" s="23"/>
      <c r="AI385" s="23"/>
      <c r="AJ385" s="23"/>
      <c r="AK385" s="23"/>
    </row>
    <row r="386" spans="11:37">
      <c r="K386" s="23"/>
      <c r="AI386" s="23"/>
      <c r="AJ386" s="23"/>
      <c r="AK386" s="23"/>
    </row>
    <row r="387" spans="11:37">
      <c r="K387" s="23"/>
      <c r="AI387" s="23"/>
      <c r="AJ387" s="23"/>
      <c r="AK387" s="23"/>
    </row>
    <row r="388" spans="11:37">
      <c r="K388" s="23"/>
      <c r="AI388" s="23"/>
      <c r="AJ388" s="23"/>
      <c r="AK388" s="23"/>
    </row>
    <row r="389" spans="11:37">
      <c r="K389" s="23"/>
      <c r="AI389" s="23"/>
      <c r="AJ389" s="23"/>
      <c r="AK389" s="23"/>
    </row>
    <row r="390" spans="11:37">
      <c r="K390" s="23"/>
      <c r="AI390" s="23"/>
      <c r="AJ390" s="23"/>
      <c r="AK390" s="23"/>
    </row>
    <row r="391" spans="11:37">
      <c r="K391" s="23"/>
      <c r="AI391" s="23"/>
      <c r="AJ391" s="23"/>
      <c r="AK391" s="23"/>
    </row>
    <row r="392" spans="11:37">
      <c r="K392" s="23"/>
      <c r="AI392" s="23"/>
      <c r="AJ392" s="23"/>
      <c r="AK392" s="23"/>
    </row>
    <row r="393" spans="11:37">
      <c r="K393" s="23"/>
      <c r="AI393" s="23"/>
      <c r="AJ393" s="23"/>
      <c r="AK393" s="23"/>
    </row>
    <row r="394" spans="11:37">
      <c r="K394" s="23"/>
      <c r="AI394" s="23"/>
      <c r="AJ394" s="23"/>
      <c r="AK394" s="23"/>
    </row>
    <row r="395" spans="11:37">
      <c r="K395" s="23"/>
      <c r="AI395" s="23"/>
      <c r="AJ395" s="23"/>
      <c r="AK395" s="23"/>
    </row>
    <row r="396" spans="11:37">
      <c r="K396" s="23"/>
      <c r="AI396" s="23"/>
      <c r="AJ396" s="23"/>
      <c r="AK396" s="23"/>
    </row>
    <row r="397" spans="11:37">
      <c r="K397" s="23"/>
      <c r="AI397" s="23"/>
      <c r="AJ397" s="23"/>
      <c r="AK397" s="23"/>
    </row>
    <row r="398" spans="11:37">
      <c r="K398" s="23"/>
      <c r="AI398" s="23"/>
      <c r="AJ398" s="23"/>
      <c r="AK398" s="23"/>
    </row>
    <row r="399" spans="11:37">
      <c r="K399" s="23"/>
      <c r="AI399" s="23"/>
      <c r="AJ399" s="23"/>
      <c r="AK399" s="23"/>
    </row>
    <row r="400" spans="11:37">
      <c r="K400" s="23"/>
      <c r="AI400" s="23"/>
      <c r="AJ400" s="23"/>
      <c r="AK400" s="23"/>
    </row>
    <row r="401" spans="11:37">
      <c r="K401" s="23"/>
      <c r="AI401" s="23"/>
      <c r="AJ401" s="23"/>
      <c r="AK401" s="23"/>
    </row>
    <row r="402" spans="11:37">
      <c r="K402" s="23"/>
      <c r="AI402" s="23"/>
      <c r="AJ402" s="23"/>
      <c r="AK402" s="23"/>
    </row>
    <row r="403" spans="11:37">
      <c r="K403" s="23"/>
      <c r="AI403" s="23"/>
      <c r="AJ403" s="23"/>
      <c r="AK403" s="23"/>
    </row>
    <row r="404" spans="11:37">
      <c r="K404" s="23"/>
      <c r="AI404" s="23"/>
      <c r="AJ404" s="23"/>
      <c r="AK404" s="23"/>
    </row>
    <row r="405" spans="11:37">
      <c r="K405" s="23"/>
      <c r="AI405" s="23"/>
      <c r="AJ405" s="23"/>
      <c r="AK405" s="23"/>
    </row>
    <row r="406" spans="11:37">
      <c r="K406" s="23"/>
      <c r="AI406" s="23"/>
      <c r="AJ406" s="23"/>
      <c r="AK406" s="23"/>
    </row>
    <row r="407" spans="11:37">
      <c r="K407" s="23"/>
      <c r="AI407" s="23"/>
      <c r="AJ407" s="23"/>
      <c r="AK407" s="23"/>
    </row>
    <row r="408" spans="11:37">
      <c r="K408" s="23"/>
      <c r="AI408" s="23"/>
      <c r="AJ408" s="23"/>
      <c r="AK408" s="23"/>
    </row>
    <row r="409" spans="11:37">
      <c r="K409" s="23"/>
      <c r="AI409" s="23"/>
      <c r="AJ409" s="23"/>
      <c r="AK409" s="23"/>
    </row>
    <row r="410" spans="11:37">
      <c r="K410" s="23"/>
      <c r="AI410" s="23"/>
      <c r="AJ410" s="23"/>
      <c r="AK410" s="23"/>
    </row>
    <row r="411" spans="11:37">
      <c r="K411" s="23"/>
      <c r="AI411" s="23"/>
      <c r="AJ411" s="23"/>
      <c r="AK411" s="23"/>
    </row>
    <row r="412" spans="11:37">
      <c r="K412" s="23"/>
      <c r="AI412" s="23"/>
      <c r="AJ412" s="23"/>
      <c r="AK412" s="23"/>
    </row>
    <row r="413" spans="11:37">
      <c r="K413" s="23"/>
      <c r="AI413" s="23"/>
      <c r="AJ413" s="23"/>
      <c r="AK413" s="23"/>
    </row>
    <row r="414" spans="11:37">
      <c r="K414" s="23"/>
      <c r="AI414" s="23"/>
      <c r="AJ414" s="23"/>
      <c r="AK414" s="23"/>
    </row>
    <row r="415" spans="11:37">
      <c r="K415" s="23"/>
      <c r="AI415" s="23"/>
      <c r="AJ415" s="23"/>
      <c r="AK415" s="23"/>
    </row>
    <row r="416" spans="11:37">
      <c r="K416" s="23"/>
      <c r="AI416" s="23"/>
      <c r="AJ416" s="23"/>
      <c r="AK416" s="23"/>
    </row>
    <row r="417" spans="11:37">
      <c r="K417" s="23"/>
      <c r="AI417" s="23"/>
      <c r="AJ417" s="23"/>
      <c r="AK417" s="23"/>
    </row>
    <row r="418" spans="11:37">
      <c r="K418" s="23"/>
      <c r="AI418" s="23"/>
      <c r="AJ418" s="23"/>
      <c r="AK418" s="23"/>
    </row>
    <row r="419" spans="11:37">
      <c r="K419" s="23"/>
      <c r="AI419" s="23"/>
      <c r="AJ419" s="23"/>
      <c r="AK419" s="23"/>
    </row>
    <row r="420" spans="11:37">
      <c r="K420" s="23"/>
      <c r="AI420" s="23"/>
      <c r="AJ420" s="23"/>
      <c r="AK420" s="23"/>
    </row>
    <row r="421" spans="11:37">
      <c r="K421" s="23"/>
      <c r="AI421" s="23"/>
      <c r="AJ421" s="23"/>
      <c r="AK421" s="23"/>
    </row>
    <row r="422" spans="11:37">
      <c r="K422" s="23"/>
      <c r="AI422" s="23"/>
      <c r="AJ422" s="23"/>
      <c r="AK422" s="23"/>
    </row>
    <row r="423" spans="11:37">
      <c r="K423" s="23"/>
      <c r="AI423" s="23"/>
      <c r="AJ423" s="23"/>
      <c r="AK423" s="23"/>
    </row>
    <row r="424" spans="11:37">
      <c r="K424" s="23"/>
      <c r="AI424" s="23"/>
      <c r="AJ424" s="23"/>
      <c r="AK424" s="23"/>
    </row>
    <row r="425" spans="11:37">
      <c r="K425" s="23"/>
      <c r="AI425" s="23"/>
      <c r="AJ425" s="23"/>
      <c r="AK425" s="23"/>
    </row>
    <row r="426" spans="11:37">
      <c r="K426" s="23"/>
      <c r="AI426" s="23"/>
      <c r="AJ426" s="23"/>
      <c r="AK426" s="23"/>
    </row>
    <row r="427" spans="11:37">
      <c r="K427" s="23"/>
      <c r="AI427" s="23"/>
      <c r="AJ427" s="23"/>
      <c r="AK427" s="23"/>
    </row>
    <row r="428" spans="11:37">
      <c r="K428" s="23"/>
      <c r="AI428" s="23"/>
      <c r="AJ428" s="23"/>
      <c r="AK428" s="23"/>
    </row>
    <row r="429" spans="11:37">
      <c r="K429" s="23"/>
      <c r="AI429" s="23"/>
      <c r="AJ429" s="23"/>
      <c r="AK429" s="23"/>
    </row>
    <row r="430" spans="11:37">
      <c r="K430" s="23"/>
      <c r="AI430" s="23"/>
      <c r="AJ430" s="23"/>
      <c r="AK430" s="23"/>
    </row>
    <row r="431" spans="11:37">
      <c r="K431" s="23"/>
      <c r="AI431" s="23"/>
      <c r="AJ431" s="23"/>
      <c r="AK431" s="23"/>
    </row>
    <row r="432" spans="11:37">
      <c r="K432" s="23"/>
      <c r="AI432" s="23"/>
      <c r="AJ432" s="23"/>
      <c r="AK432" s="23"/>
    </row>
    <row r="433" spans="11:37">
      <c r="K433" s="23"/>
      <c r="AI433" s="23"/>
      <c r="AJ433" s="23"/>
      <c r="AK433" s="23"/>
    </row>
    <row r="434" spans="11:37">
      <c r="K434" s="23"/>
      <c r="AI434" s="23"/>
      <c r="AJ434" s="23"/>
      <c r="AK434" s="23"/>
    </row>
    <row r="435" spans="11:37">
      <c r="K435" s="23"/>
      <c r="AI435" s="23"/>
      <c r="AJ435" s="23"/>
      <c r="AK435" s="23"/>
    </row>
    <row r="436" spans="11:37">
      <c r="K436" s="23"/>
      <c r="AI436" s="23"/>
      <c r="AJ436" s="23"/>
      <c r="AK436" s="23"/>
    </row>
    <row r="437" spans="11:37">
      <c r="K437" s="23"/>
      <c r="AI437" s="23"/>
      <c r="AJ437" s="23"/>
      <c r="AK437" s="23"/>
    </row>
    <row r="438" spans="11:37">
      <c r="K438" s="23"/>
      <c r="AI438" s="23"/>
      <c r="AJ438" s="23"/>
      <c r="AK438" s="23"/>
    </row>
    <row r="439" spans="11:37">
      <c r="K439" s="23"/>
      <c r="AI439" s="23"/>
      <c r="AJ439" s="23"/>
      <c r="AK439" s="23"/>
    </row>
    <row r="440" spans="11:37">
      <c r="K440" s="23"/>
      <c r="AI440" s="23"/>
      <c r="AJ440" s="23"/>
      <c r="AK440" s="23"/>
    </row>
    <row r="441" spans="11:37">
      <c r="K441" s="23"/>
      <c r="AI441" s="23"/>
      <c r="AJ441" s="23"/>
      <c r="AK441" s="23"/>
    </row>
    <row r="442" spans="11:37">
      <c r="K442" s="23"/>
      <c r="AI442" s="23"/>
      <c r="AJ442" s="23"/>
      <c r="AK442" s="23"/>
    </row>
    <row r="443" spans="11:37">
      <c r="K443" s="23"/>
      <c r="AI443" s="23"/>
      <c r="AJ443" s="23"/>
      <c r="AK443" s="23"/>
    </row>
    <row r="444" spans="11:37">
      <c r="K444" s="23"/>
      <c r="AI444" s="23"/>
      <c r="AJ444" s="23"/>
      <c r="AK444" s="23"/>
    </row>
    <row r="445" spans="11:37">
      <c r="K445" s="23"/>
      <c r="AI445" s="23"/>
      <c r="AJ445" s="23"/>
      <c r="AK445" s="23"/>
    </row>
    <row r="446" spans="11:37">
      <c r="K446" s="23"/>
      <c r="AI446" s="23"/>
      <c r="AJ446" s="23"/>
      <c r="AK446" s="23"/>
    </row>
    <row r="447" spans="11:37">
      <c r="K447" s="23"/>
      <c r="AI447" s="23"/>
      <c r="AJ447" s="23"/>
      <c r="AK447" s="23"/>
    </row>
    <row r="448" spans="11:37">
      <c r="K448" s="23"/>
      <c r="AI448" s="23"/>
      <c r="AJ448" s="23"/>
      <c r="AK448" s="23"/>
    </row>
    <row r="449" spans="11:37">
      <c r="K449" s="23"/>
      <c r="AI449" s="23"/>
      <c r="AJ449" s="23"/>
      <c r="AK449" s="23"/>
    </row>
    <row r="450" spans="11:37">
      <c r="K450" s="23"/>
      <c r="AI450" s="23"/>
      <c r="AJ450" s="23"/>
      <c r="AK450" s="23"/>
    </row>
    <row r="451" spans="11:37">
      <c r="K451" s="23"/>
      <c r="AI451" s="23"/>
      <c r="AJ451" s="23"/>
      <c r="AK451" s="23"/>
    </row>
    <row r="452" spans="11:37">
      <c r="K452" s="23"/>
      <c r="AI452" s="23"/>
      <c r="AJ452" s="23"/>
      <c r="AK452" s="23"/>
    </row>
    <row r="453" spans="11:37">
      <c r="K453" s="23"/>
      <c r="AI453" s="23"/>
      <c r="AJ453" s="23"/>
      <c r="AK453" s="23"/>
    </row>
    <row r="454" spans="11:37">
      <c r="K454" s="23"/>
      <c r="AI454" s="23"/>
      <c r="AJ454" s="23"/>
      <c r="AK454" s="23"/>
    </row>
    <row r="455" spans="11:37">
      <c r="K455" s="23"/>
      <c r="AI455" s="23"/>
      <c r="AJ455" s="23"/>
      <c r="AK455" s="23"/>
    </row>
    <row r="456" spans="11:37">
      <c r="K456" s="23"/>
      <c r="AI456" s="23"/>
      <c r="AJ456" s="23"/>
      <c r="AK456" s="23"/>
    </row>
    <row r="457" spans="11:37">
      <c r="K457" s="23"/>
      <c r="AI457" s="23"/>
      <c r="AJ457" s="23"/>
      <c r="AK457" s="23"/>
    </row>
    <row r="458" spans="11:37">
      <c r="K458" s="23"/>
      <c r="AI458" s="23"/>
      <c r="AJ458" s="23"/>
      <c r="AK458" s="23"/>
    </row>
    <row r="459" spans="11:37">
      <c r="K459" s="23"/>
      <c r="AI459" s="23"/>
      <c r="AJ459" s="23"/>
      <c r="AK459" s="23"/>
    </row>
    <row r="460" spans="11:37">
      <c r="K460" s="23"/>
      <c r="AI460" s="23"/>
      <c r="AJ460" s="23"/>
      <c r="AK460" s="23"/>
    </row>
    <row r="461" spans="11:37">
      <c r="K461" s="23"/>
      <c r="AI461" s="23"/>
      <c r="AJ461" s="23"/>
      <c r="AK461" s="23"/>
    </row>
    <row r="462" spans="11:37">
      <c r="K462" s="23"/>
      <c r="AI462" s="23"/>
      <c r="AJ462" s="23"/>
      <c r="AK462" s="23"/>
    </row>
    <row r="463" spans="11:37">
      <c r="K463" s="23"/>
      <c r="AI463" s="23"/>
      <c r="AJ463" s="23"/>
      <c r="AK463" s="23"/>
    </row>
    <row r="464" spans="11:37">
      <c r="K464" s="23"/>
      <c r="AI464" s="23"/>
      <c r="AJ464" s="23"/>
      <c r="AK464" s="23"/>
    </row>
    <row r="465" spans="11:37">
      <c r="K465" s="23"/>
      <c r="AI465" s="23"/>
      <c r="AJ465" s="23"/>
      <c r="AK465" s="23"/>
    </row>
    <row r="466" spans="11:37">
      <c r="K466" s="23"/>
      <c r="AI466" s="23"/>
      <c r="AJ466" s="23"/>
      <c r="AK466" s="23"/>
    </row>
    <row r="467" spans="11:37">
      <c r="K467" s="23"/>
      <c r="AI467" s="23"/>
      <c r="AJ467" s="23"/>
      <c r="AK467" s="23"/>
    </row>
    <row r="468" spans="11:37">
      <c r="K468" s="23"/>
      <c r="AI468" s="23"/>
      <c r="AJ468" s="23"/>
      <c r="AK468" s="23"/>
    </row>
    <row r="469" spans="11:37">
      <c r="K469" s="23"/>
      <c r="AI469" s="23"/>
      <c r="AJ469" s="23"/>
      <c r="AK469" s="23"/>
    </row>
    <row r="470" spans="11:37">
      <c r="K470" s="23"/>
      <c r="AI470" s="23"/>
      <c r="AJ470" s="23"/>
      <c r="AK470" s="23"/>
    </row>
    <row r="471" spans="11:37">
      <c r="K471" s="23"/>
      <c r="AI471" s="23"/>
      <c r="AJ471" s="23"/>
      <c r="AK471" s="23"/>
    </row>
    <row r="472" spans="11:37">
      <c r="K472" s="23"/>
      <c r="AI472" s="23"/>
      <c r="AJ472" s="23"/>
      <c r="AK472" s="23"/>
    </row>
    <row r="473" spans="11:37">
      <c r="K473" s="23"/>
      <c r="AI473" s="23"/>
      <c r="AJ473" s="23"/>
      <c r="AK473" s="23"/>
    </row>
    <row r="474" spans="11:37">
      <c r="K474" s="23"/>
      <c r="AI474" s="23"/>
      <c r="AJ474" s="23"/>
      <c r="AK474" s="23"/>
    </row>
    <row r="475" spans="11:37">
      <c r="K475" s="23"/>
      <c r="AI475" s="23"/>
      <c r="AJ475" s="23"/>
      <c r="AK475" s="23"/>
    </row>
    <row r="476" spans="11:37">
      <c r="K476" s="23"/>
      <c r="AI476" s="23"/>
      <c r="AJ476" s="23"/>
      <c r="AK476" s="23"/>
    </row>
    <row r="477" spans="11:37">
      <c r="K477" s="23"/>
      <c r="AI477" s="23"/>
      <c r="AJ477" s="23"/>
      <c r="AK477" s="23"/>
    </row>
    <row r="478" spans="11:37">
      <c r="K478" s="23"/>
      <c r="AI478" s="23"/>
      <c r="AJ478" s="23"/>
      <c r="AK478" s="23"/>
    </row>
    <row r="479" spans="11:37">
      <c r="K479" s="23"/>
      <c r="AI479" s="23"/>
      <c r="AJ479" s="23"/>
      <c r="AK479" s="23"/>
    </row>
    <row r="480" spans="11:37">
      <c r="K480" s="23"/>
      <c r="AI480" s="23"/>
      <c r="AJ480" s="23"/>
      <c r="AK480" s="23"/>
    </row>
    <row r="481" spans="11:37">
      <c r="K481" s="23"/>
      <c r="AI481" s="23"/>
      <c r="AJ481" s="23"/>
      <c r="AK481" s="23"/>
    </row>
    <row r="482" spans="11:37">
      <c r="K482" s="23"/>
      <c r="AI482" s="23"/>
      <c r="AJ482" s="23"/>
      <c r="AK482" s="23"/>
    </row>
    <row r="483" spans="11:37">
      <c r="K483" s="23"/>
      <c r="AI483" s="23"/>
      <c r="AJ483" s="23"/>
      <c r="AK483" s="23"/>
    </row>
    <row r="484" spans="11:37">
      <c r="K484" s="23"/>
      <c r="AI484" s="23"/>
      <c r="AJ484" s="23"/>
      <c r="AK484" s="23"/>
    </row>
    <row r="485" spans="11:37">
      <c r="K485" s="23"/>
      <c r="AI485" s="23"/>
      <c r="AJ485" s="23"/>
      <c r="AK485" s="23"/>
    </row>
    <row r="486" spans="11:37">
      <c r="K486" s="23"/>
      <c r="AI486" s="23"/>
      <c r="AJ486" s="23"/>
      <c r="AK486" s="23"/>
    </row>
    <row r="487" spans="11:37">
      <c r="K487" s="23"/>
      <c r="AI487" s="23"/>
      <c r="AJ487" s="23"/>
      <c r="AK487" s="23"/>
    </row>
    <row r="488" spans="11:37">
      <c r="K488" s="23"/>
      <c r="AI488" s="23"/>
      <c r="AJ488" s="23"/>
      <c r="AK488" s="23"/>
    </row>
    <row r="489" spans="11:37">
      <c r="K489" s="23"/>
      <c r="AI489" s="23"/>
      <c r="AJ489" s="23"/>
      <c r="AK489" s="23"/>
    </row>
    <row r="490" spans="11:37">
      <c r="K490" s="23"/>
      <c r="AI490" s="23"/>
      <c r="AJ490" s="23"/>
      <c r="AK490" s="23"/>
    </row>
    <row r="491" spans="11:37">
      <c r="K491" s="23"/>
      <c r="AI491" s="23"/>
      <c r="AJ491" s="23"/>
      <c r="AK491" s="23"/>
    </row>
    <row r="492" spans="11:37">
      <c r="K492" s="23"/>
      <c r="AI492" s="23"/>
      <c r="AJ492" s="23"/>
      <c r="AK492" s="23"/>
    </row>
    <row r="493" spans="11:37">
      <c r="K493" s="23"/>
      <c r="AI493" s="23"/>
      <c r="AJ493" s="23"/>
      <c r="AK493" s="23"/>
    </row>
    <row r="494" spans="11:37">
      <c r="K494" s="23"/>
      <c r="AI494" s="23"/>
      <c r="AJ494" s="23"/>
      <c r="AK494" s="23"/>
    </row>
    <row r="495" spans="11:37">
      <c r="K495" s="23"/>
      <c r="AI495" s="23"/>
      <c r="AJ495" s="23"/>
      <c r="AK495" s="23"/>
    </row>
    <row r="496" spans="11:37">
      <c r="K496" s="23"/>
      <c r="AI496" s="23"/>
      <c r="AJ496" s="23"/>
      <c r="AK496" s="23"/>
    </row>
    <row r="497" spans="11:37">
      <c r="K497" s="23"/>
      <c r="AI497" s="23"/>
      <c r="AJ497" s="23"/>
      <c r="AK497" s="23"/>
    </row>
    <row r="498" spans="11:37">
      <c r="K498" s="23"/>
      <c r="AI498" s="23"/>
      <c r="AJ498" s="23"/>
      <c r="AK498" s="23"/>
    </row>
    <row r="499" spans="11:37">
      <c r="K499" s="23"/>
      <c r="AI499" s="23"/>
      <c r="AJ499" s="23"/>
      <c r="AK499" s="23"/>
    </row>
    <row r="500" spans="11:37">
      <c r="K500" s="23"/>
      <c r="AI500" s="23"/>
      <c r="AJ500" s="23"/>
      <c r="AK500" s="23"/>
    </row>
    <row r="501" spans="11:37">
      <c r="K501" s="23"/>
      <c r="AI501" s="23"/>
      <c r="AJ501" s="23"/>
      <c r="AK501" s="23"/>
    </row>
    <row r="502" spans="11:37">
      <c r="K502" s="23"/>
      <c r="AI502" s="23"/>
      <c r="AJ502" s="23"/>
      <c r="AK502" s="23"/>
    </row>
    <row r="503" spans="11:37">
      <c r="K503" s="23"/>
      <c r="AI503" s="23"/>
      <c r="AJ503" s="23"/>
      <c r="AK503" s="23"/>
    </row>
    <row r="504" spans="11:37">
      <c r="K504" s="23"/>
      <c r="AI504" s="23"/>
      <c r="AJ504" s="23"/>
      <c r="AK504" s="23"/>
    </row>
    <row r="505" spans="11:37">
      <c r="K505" s="23"/>
      <c r="AI505" s="23"/>
      <c r="AJ505" s="23"/>
      <c r="AK505" s="23"/>
    </row>
    <row r="506" spans="11:37">
      <c r="K506" s="23"/>
      <c r="AI506" s="23"/>
      <c r="AJ506" s="23"/>
      <c r="AK506" s="23"/>
    </row>
    <row r="507" spans="11:37">
      <c r="K507" s="23"/>
      <c r="AI507" s="23"/>
      <c r="AJ507" s="23"/>
      <c r="AK507" s="23"/>
    </row>
    <row r="508" spans="11:37">
      <c r="K508" s="23"/>
      <c r="AI508" s="23"/>
      <c r="AJ508" s="23"/>
      <c r="AK508" s="23"/>
    </row>
    <row r="509" spans="11:37">
      <c r="K509" s="23"/>
      <c r="AI509" s="23"/>
      <c r="AJ509" s="23"/>
      <c r="AK509" s="23"/>
    </row>
    <row r="510" spans="11:37">
      <c r="K510" s="23"/>
      <c r="AI510" s="23"/>
      <c r="AJ510" s="23"/>
      <c r="AK510" s="23"/>
    </row>
    <row r="511" spans="11:37">
      <c r="K511" s="23"/>
      <c r="AI511" s="23"/>
      <c r="AJ511" s="23"/>
      <c r="AK511" s="23"/>
    </row>
    <row r="512" spans="11:37">
      <c r="K512" s="23"/>
      <c r="AI512" s="23"/>
      <c r="AJ512" s="23"/>
      <c r="AK512" s="23"/>
    </row>
    <row r="513" spans="11:37">
      <c r="K513" s="23"/>
      <c r="AI513" s="23"/>
      <c r="AJ513" s="23"/>
      <c r="AK513" s="23"/>
    </row>
    <row r="514" spans="11:37">
      <c r="K514" s="23"/>
      <c r="AI514" s="23"/>
      <c r="AJ514" s="23"/>
      <c r="AK514" s="23"/>
    </row>
    <row r="515" spans="11:37">
      <c r="K515" s="23"/>
      <c r="AI515" s="23"/>
      <c r="AJ515" s="23"/>
      <c r="AK515" s="23"/>
    </row>
    <row r="516" spans="11:37">
      <c r="K516" s="23"/>
      <c r="AI516" s="23"/>
      <c r="AJ516" s="23"/>
      <c r="AK516" s="23"/>
    </row>
    <row r="517" spans="11:37">
      <c r="K517" s="23"/>
      <c r="AI517" s="23"/>
      <c r="AJ517" s="23"/>
      <c r="AK517" s="23"/>
    </row>
    <row r="518" spans="11:37">
      <c r="K518" s="23"/>
      <c r="AI518" s="23"/>
      <c r="AJ518" s="23"/>
      <c r="AK518" s="23"/>
    </row>
    <row r="519" spans="11:37">
      <c r="K519" s="23"/>
      <c r="AI519" s="23"/>
      <c r="AJ519" s="23"/>
      <c r="AK519" s="23"/>
    </row>
    <row r="520" spans="11:37">
      <c r="K520" s="23"/>
      <c r="AI520" s="23"/>
      <c r="AJ520" s="23"/>
      <c r="AK520" s="23"/>
    </row>
    <row r="521" spans="11:37">
      <c r="K521" s="23"/>
      <c r="AI521" s="23"/>
      <c r="AJ521" s="23"/>
      <c r="AK521" s="23"/>
    </row>
    <row r="522" spans="11:37">
      <c r="K522" s="23"/>
      <c r="AI522" s="23"/>
      <c r="AJ522" s="23"/>
      <c r="AK522" s="23"/>
    </row>
    <row r="523" spans="11:37">
      <c r="K523" s="23"/>
      <c r="AI523" s="23"/>
      <c r="AJ523" s="23"/>
      <c r="AK523" s="23"/>
    </row>
    <row r="524" spans="11:37">
      <c r="K524" s="23"/>
      <c r="AI524" s="23"/>
      <c r="AJ524" s="23"/>
      <c r="AK524" s="23"/>
    </row>
    <row r="525" spans="11:37">
      <c r="K525" s="23"/>
      <c r="AI525" s="23"/>
      <c r="AJ525" s="23"/>
      <c r="AK525" s="23"/>
    </row>
    <row r="526" spans="11:37">
      <c r="K526" s="23"/>
      <c r="AI526" s="23"/>
      <c r="AJ526" s="23"/>
      <c r="AK526" s="23"/>
    </row>
    <row r="527" spans="11:37">
      <c r="K527" s="23"/>
      <c r="AI527" s="23"/>
      <c r="AJ527" s="23"/>
      <c r="AK527" s="23"/>
    </row>
    <row r="528" spans="11:37">
      <c r="K528" s="23"/>
      <c r="AI528" s="23"/>
      <c r="AJ528" s="23"/>
      <c r="AK528" s="23"/>
    </row>
    <row r="529" spans="11:37">
      <c r="K529" s="23"/>
      <c r="AI529" s="23"/>
      <c r="AJ529" s="23"/>
      <c r="AK529" s="23"/>
    </row>
    <row r="530" spans="11:37">
      <c r="K530" s="23"/>
      <c r="AI530" s="23"/>
      <c r="AJ530" s="23"/>
      <c r="AK530" s="23"/>
    </row>
    <row r="531" spans="11:37">
      <c r="K531" s="23"/>
      <c r="AI531" s="23"/>
      <c r="AJ531" s="23"/>
      <c r="AK531" s="23"/>
    </row>
    <row r="532" spans="11:37">
      <c r="K532" s="23"/>
      <c r="AI532" s="23"/>
      <c r="AJ532" s="23"/>
      <c r="AK532" s="23"/>
    </row>
    <row r="533" spans="11:37">
      <c r="K533" s="23"/>
      <c r="AI533" s="23"/>
      <c r="AJ533" s="23"/>
      <c r="AK533" s="23"/>
    </row>
    <row r="534" spans="11:37">
      <c r="K534" s="23"/>
      <c r="AI534" s="23"/>
      <c r="AJ534" s="23"/>
      <c r="AK534" s="23"/>
    </row>
    <row r="535" spans="11:37">
      <c r="K535" s="23"/>
      <c r="AI535" s="23"/>
      <c r="AJ535" s="23"/>
      <c r="AK535" s="23"/>
    </row>
    <row r="536" spans="11:37">
      <c r="K536" s="23"/>
      <c r="AI536" s="23"/>
      <c r="AJ536" s="23"/>
      <c r="AK536" s="23"/>
    </row>
    <row r="537" spans="11:37">
      <c r="K537" s="23"/>
      <c r="AI537" s="23"/>
      <c r="AJ537" s="23"/>
      <c r="AK537" s="23"/>
    </row>
    <row r="538" spans="11:37">
      <c r="K538" s="23"/>
      <c r="AI538" s="23"/>
      <c r="AJ538" s="23"/>
      <c r="AK538" s="23"/>
    </row>
    <row r="539" spans="11:37">
      <c r="K539" s="23"/>
      <c r="AI539" s="23"/>
      <c r="AJ539" s="23"/>
      <c r="AK539" s="23"/>
    </row>
    <row r="540" spans="11:37">
      <c r="K540" s="23"/>
      <c r="AI540" s="23"/>
      <c r="AJ540" s="23"/>
      <c r="AK540" s="23"/>
    </row>
    <row r="541" spans="11:37">
      <c r="K541" s="23"/>
      <c r="AI541" s="23"/>
      <c r="AJ541" s="23"/>
      <c r="AK541" s="23"/>
    </row>
    <row r="542" spans="11:37">
      <c r="K542" s="23"/>
      <c r="AI542" s="23"/>
      <c r="AJ542" s="23"/>
      <c r="AK542" s="23"/>
    </row>
    <row r="543" spans="11:37">
      <c r="K543" s="23"/>
      <c r="AI543" s="23"/>
      <c r="AJ543" s="23"/>
      <c r="AK543" s="23"/>
    </row>
    <row r="544" spans="11:37">
      <c r="K544" s="23"/>
      <c r="AI544" s="23"/>
      <c r="AJ544" s="23"/>
      <c r="AK544" s="23"/>
    </row>
    <row r="545" spans="11:37">
      <c r="K545" s="23"/>
      <c r="AI545" s="23"/>
      <c r="AJ545" s="23"/>
      <c r="AK545" s="23"/>
    </row>
    <row r="546" spans="11:37">
      <c r="K546" s="23"/>
      <c r="AI546" s="23"/>
      <c r="AJ546" s="23"/>
      <c r="AK546" s="23"/>
    </row>
    <row r="547" spans="11:37">
      <c r="K547" s="23"/>
      <c r="AI547" s="23"/>
      <c r="AJ547" s="23"/>
      <c r="AK547" s="23"/>
    </row>
    <row r="548" spans="11:37">
      <c r="K548" s="23"/>
      <c r="AI548" s="23"/>
      <c r="AJ548" s="23"/>
      <c r="AK548" s="23"/>
    </row>
    <row r="549" spans="11:37">
      <c r="K549" s="23"/>
      <c r="AI549" s="23"/>
      <c r="AJ549" s="23"/>
      <c r="AK549" s="23"/>
    </row>
    <row r="550" spans="11:37">
      <c r="K550" s="23"/>
      <c r="AI550" s="23"/>
      <c r="AJ550" s="23"/>
      <c r="AK550" s="23"/>
    </row>
    <row r="551" spans="11:37">
      <c r="K551" s="23"/>
      <c r="AI551" s="23"/>
      <c r="AJ551" s="23"/>
      <c r="AK551" s="23"/>
    </row>
    <row r="552" spans="11:37">
      <c r="K552" s="23"/>
      <c r="AI552" s="23"/>
      <c r="AJ552" s="23"/>
      <c r="AK552" s="23"/>
    </row>
    <row r="553" spans="11:37">
      <c r="K553" s="23"/>
      <c r="AI553" s="23"/>
      <c r="AJ553" s="23"/>
      <c r="AK553" s="23"/>
    </row>
    <row r="554" spans="11:37">
      <c r="K554" s="23"/>
      <c r="AI554" s="23"/>
      <c r="AJ554" s="23"/>
      <c r="AK554" s="23"/>
    </row>
    <row r="555" spans="11:37">
      <c r="K555" s="23"/>
      <c r="AI555" s="23"/>
      <c r="AJ555" s="23"/>
      <c r="AK555" s="23"/>
    </row>
    <row r="556" spans="11:37">
      <c r="K556" s="23"/>
      <c r="AI556" s="23"/>
      <c r="AJ556" s="23"/>
      <c r="AK556" s="23"/>
    </row>
    <row r="557" spans="11:37">
      <c r="K557" s="23"/>
      <c r="AI557" s="23"/>
      <c r="AJ557" s="23"/>
      <c r="AK557" s="23"/>
    </row>
    <row r="558" spans="11:37">
      <c r="K558" s="23"/>
      <c r="AI558" s="23"/>
      <c r="AJ558" s="23"/>
      <c r="AK558" s="23"/>
    </row>
    <row r="559" spans="11:37">
      <c r="K559" s="23"/>
      <c r="AI559" s="23"/>
      <c r="AJ559" s="23"/>
      <c r="AK559" s="23"/>
    </row>
    <row r="560" spans="11:37">
      <c r="K560" s="23"/>
      <c r="AI560" s="23"/>
      <c r="AJ560" s="23"/>
      <c r="AK560" s="23"/>
    </row>
    <row r="561" spans="11:37">
      <c r="K561" s="23"/>
      <c r="AI561" s="23"/>
      <c r="AJ561" s="23"/>
      <c r="AK561" s="23"/>
    </row>
    <row r="562" spans="11:37">
      <c r="K562" s="23"/>
      <c r="AI562" s="23"/>
      <c r="AJ562" s="23"/>
      <c r="AK562" s="23"/>
    </row>
    <row r="563" spans="11:37">
      <c r="K563" s="23"/>
      <c r="AI563" s="23"/>
      <c r="AJ563" s="23"/>
      <c r="AK563" s="23"/>
    </row>
    <row r="564" spans="11:37">
      <c r="K564" s="23"/>
      <c r="AI564" s="23"/>
      <c r="AJ564" s="23"/>
      <c r="AK564" s="23"/>
    </row>
    <row r="565" spans="11:37">
      <c r="K565" s="23"/>
      <c r="AI565" s="23"/>
      <c r="AJ565" s="23"/>
      <c r="AK565" s="23"/>
    </row>
    <row r="566" spans="11:37">
      <c r="K566" s="23"/>
      <c r="AI566" s="23"/>
      <c r="AJ566" s="23"/>
      <c r="AK566" s="23"/>
    </row>
    <row r="567" spans="11:37">
      <c r="K567" s="23"/>
      <c r="AI567" s="23"/>
      <c r="AJ567" s="23"/>
      <c r="AK567" s="23"/>
    </row>
    <row r="568" spans="11:37">
      <c r="K568" s="23"/>
      <c r="AI568" s="23"/>
      <c r="AJ568" s="23"/>
      <c r="AK568" s="23"/>
    </row>
    <row r="569" spans="11:37">
      <c r="K569" s="23"/>
      <c r="AI569" s="23"/>
      <c r="AJ569" s="23"/>
      <c r="AK569" s="23"/>
    </row>
  </sheetData>
  <autoFilter ref="A2:AT249" xr:uid="{00000000-0009-0000-0000-000009000000}"/>
  <phoneticPr fontId="29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一般注文</vt:lpstr>
      <vt:lpstr>店舗マスタ230208</vt:lpstr>
      <vt:lpstr>一般注文!Print_Area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小菅 正信　(未来屋書店)</dc:creator>
  <cp:lastModifiedBy>honoka N.</cp:lastModifiedBy>
  <cp:lastPrinted>2024-02-26T10:56:53Z</cp:lastPrinted>
  <dcterms:created xsi:type="dcterms:W3CDTF">2021-01-27T05:13:02Z</dcterms:created>
  <dcterms:modified xsi:type="dcterms:W3CDTF">2024-09-27T03:45:54Z</dcterms:modified>
</cp:coreProperties>
</file>